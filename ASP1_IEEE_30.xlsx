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1504ZA\Downloads\"/>
    </mc:Choice>
  </mc:AlternateContent>
  <xr:revisionPtr revIDLastSave="0" documentId="13_ncr:1_{9CFD5D4F-18C5-4A04-9E11-2AA2A48681D3}" xr6:coauthVersionLast="37" xr6:coauthVersionMax="47" xr10:uidLastSave="{00000000-0000-0000-0000-000000000000}"/>
  <bookViews>
    <workbookView xWindow="0" yWindow="0" windowWidth="23040" windowHeight="8364" activeTab="7" xr2:uid="{CA5646F5-C851-4B33-9605-491CE19BF5AD}"/>
  </bookViews>
  <sheets>
    <sheet name="Hoja1" sheetId="1" r:id="rId1"/>
    <sheet name="Nodos" sheetId="3" r:id="rId2"/>
    <sheet name="LT" sheetId="6" r:id="rId3"/>
    <sheet name="Generacion" sheetId="5" r:id="rId4"/>
    <sheet name="DATOS ESPERADOS" sheetId="7" r:id="rId5"/>
    <sheet name="Hoja2" sheetId="12" r:id="rId6"/>
    <sheet name="Caso A" sheetId="8" r:id="rId7"/>
    <sheet name="Caso B" sheetId="11" r:id="rId8"/>
    <sheet name="Caso C" sheetId="13" r:id="rId9"/>
    <sheet name="Corriente y cargabilidad" sheetId="14" r:id="rId10"/>
    <sheet name="falla simetrica" sheetId="17" r:id="rId11"/>
    <sheet name="DESPACHO" sheetId="18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1" l="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5" i="11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5" i="8"/>
  <c r="F6" i="1"/>
  <c r="F5" i="1"/>
  <c r="Q4" i="14"/>
  <c r="T4" i="14"/>
  <c r="T37" i="14"/>
  <c r="T38" i="14"/>
  <c r="T39" i="14"/>
  <c r="T40" i="14"/>
  <c r="T41" i="14"/>
  <c r="T42" i="14"/>
  <c r="S37" i="14"/>
  <c r="S38" i="14"/>
  <c r="S39" i="14"/>
  <c r="S40" i="14"/>
  <c r="S41" i="14"/>
  <c r="S42" i="14"/>
  <c r="R37" i="14"/>
  <c r="R38" i="14"/>
  <c r="R39" i="14"/>
  <c r="R40" i="14"/>
  <c r="R41" i="14"/>
  <c r="R42" i="14"/>
  <c r="R3" i="14"/>
  <c r="R4" i="14"/>
  <c r="R5" i="14"/>
  <c r="R6" i="14"/>
  <c r="R7" i="14"/>
  <c r="R8" i="14"/>
  <c r="R9" i="14"/>
  <c r="R10" i="14"/>
  <c r="R11" i="14"/>
  <c r="R12" i="14"/>
  <c r="R15" i="14"/>
  <c r="R16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2" i="14"/>
  <c r="T3" i="14"/>
  <c r="S3" i="14" s="1"/>
  <c r="S4" i="14"/>
  <c r="T5" i="14"/>
  <c r="S5" i="14" s="1"/>
  <c r="T6" i="14"/>
  <c r="S6" i="14" s="1"/>
  <c r="T7" i="14"/>
  <c r="S7" i="14" s="1"/>
  <c r="T8" i="14"/>
  <c r="S8" i="14" s="1"/>
  <c r="T9" i="14"/>
  <c r="S9" i="14" s="1"/>
  <c r="T10" i="14"/>
  <c r="S10" i="14" s="1"/>
  <c r="T11" i="14"/>
  <c r="S11" i="14" s="1"/>
  <c r="T12" i="14"/>
  <c r="S12" i="14" s="1"/>
  <c r="T13" i="14"/>
  <c r="S13" i="14" s="1"/>
  <c r="T14" i="14"/>
  <c r="S14" i="14" s="1"/>
  <c r="T15" i="14"/>
  <c r="S15" i="14" s="1"/>
  <c r="T16" i="14"/>
  <c r="S16" i="14" s="1"/>
  <c r="T17" i="14"/>
  <c r="S17" i="14" s="1"/>
  <c r="T18" i="14"/>
  <c r="S18" i="14" s="1"/>
  <c r="T19" i="14"/>
  <c r="S19" i="14" s="1"/>
  <c r="T20" i="14"/>
  <c r="S20" i="14" s="1"/>
  <c r="T21" i="14"/>
  <c r="S21" i="14" s="1"/>
  <c r="T22" i="14"/>
  <c r="S22" i="14" s="1"/>
  <c r="T23" i="14"/>
  <c r="S23" i="14" s="1"/>
  <c r="T24" i="14"/>
  <c r="S24" i="14" s="1"/>
  <c r="T25" i="14"/>
  <c r="S25" i="14" s="1"/>
  <c r="T26" i="14"/>
  <c r="S26" i="14" s="1"/>
  <c r="T27" i="14"/>
  <c r="S27" i="14" s="1"/>
  <c r="T28" i="14"/>
  <c r="S28" i="14" s="1"/>
  <c r="T29" i="14"/>
  <c r="S29" i="14" s="1"/>
  <c r="T30" i="14"/>
  <c r="S30" i="14" s="1"/>
  <c r="T31" i="14"/>
  <c r="S31" i="14" s="1"/>
  <c r="T32" i="14"/>
  <c r="S32" i="14" s="1"/>
  <c r="T33" i="14"/>
  <c r="S33" i="14" s="1"/>
  <c r="T34" i="14"/>
  <c r="S34" i="14" s="1"/>
  <c r="T35" i="14"/>
  <c r="S35" i="14" s="1"/>
  <c r="T36" i="14"/>
  <c r="S36" i="14" s="1"/>
  <c r="T2" i="14"/>
  <c r="S2" i="14" s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2" i="14"/>
  <c r="J6" i="11"/>
  <c r="K6" i="11"/>
  <c r="J7" i="11"/>
  <c r="K7" i="11"/>
  <c r="J8" i="11"/>
  <c r="K8" i="11"/>
  <c r="J9" i="11"/>
  <c r="K9" i="11"/>
  <c r="J10" i="11"/>
  <c r="K10" i="11"/>
  <c r="J11" i="11"/>
  <c r="K11" i="11"/>
  <c r="J12" i="11"/>
  <c r="K12" i="11"/>
  <c r="J13" i="11"/>
  <c r="K13" i="11"/>
  <c r="J14" i="11"/>
  <c r="K14" i="11"/>
  <c r="J15" i="11"/>
  <c r="K15" i="11"/>
  <c r="J16" i="11"/>
  <c r="K16" i="11"/>
  <c r="J17" i="11"/>
  <c r="K17" i="11"/>
  <c r="J18" i="11"/>
  <c r="K18" i="11"/>
  <c r="J19" i="11"/>
  <c r="K19" i="11"/>
  <c r="J20" i="11"/>
  <c r="K20" i="11"/>
  <c r="J21" i="11"/>
  <c r="K21" i="11"/>
  <c r="J22" i="11"/>
  <c r="K22" i="11"/>
  <c r="J23" i="11"/>
  <c r="K23" i="11"/>
  <c r="J24" i="11"/>
  <c r="K24" i="11"/>
  <c r="J25" i="11"/>
  <c r="K25" i="11"/>
  <c r="J26" i="11"/>
  <c r="K26" i="11"/>
  <c r="J27" i="11"/>
  <c r="K27" i="11"/>
  <c r="J28" i="11"/>
  <c r="K28" i="11"/>
  <c r="J29" i="11"/>
  <c r="K29" i="11"/>
  <c r="J30" i="11"/>
  <c r="K30" i="11"/>
  <c r="J31" i="11"/>
  <c r="K31" i="11"/>
  <c r="J32" i="11"/>
  <c r="K32" i="11"/>
  <c r="J33" i="11"/>
  <c r="K33" i="11"/>
  <c r="J34" i="11"/>
  <c r="K34" i="11"/>
  <c r="K5" i="11"/>
  <c r="J5" i="11"/>
  <c r="L27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8" i="12"/>
  <c r="L29" i="12"/>
  <c r="L30" i="12"/>
  <c r="L31" i="12"/>
  <c r="L32" i="12"/>
  <c r="L33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4" i="12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5" i="11"/>
  <c r="E5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6" i="11"/>
  <c r="Q2" i="14" l="1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3" i="14"/>
  <c r="AX6" i="8"/>
  <c r="AX45" i="8"/>
  <c r="AX44" i="8"/>
  <c r="AX43" i="8"/>
  <c r="AX42" i="8"/>
  <c r="AX41" i="8"/>
  <c r="AX40" i="8"/>
  <c r="AX39" i="8"/>
  <c r="AX38" i="8"/>
  <c r="AX37" i="8"/>
  <c r="AX36" i="8"/>
  <c r="AX35" i="8"/>
  <c r="AX34" i="8"/>
  <c r="AX33" i="8"/>
  <c r="AX32" i="8"/>
  <c r="AX31" i="8"/>
  <c r="AX30" i="8"/>
  <c r="AX27" i="8"/>
  <c r="AX28" i="8"/>
  <c r="AX29" i="8"/>
  <c r="AX26" i="8"/>
  <c r="AX25" i="8"/>
  <c r="AX24" i="8"/>
  <c r="AX23" i="8"/>
  <c r="AX22" i="8"/>
  <c r="AX21" i="8"/>
  <c r="AX20" i="8"/>
  <c r="AX19" i="8"/>
  <c r="AX18" i="8"/>
  <c r="AX17" i="8"/>
  <c r="AX16" i="8"/>
  <c r="AX15" i="8"/>
  <c r="AX14" i="8"/>
  <c r="AX13" i="8"/>
  <c r="AX12" i="8"/>
  <c r="AX11" i="8"/>
  <c r="AX10" i="8"/>
  <c r="AX9" i="8"/>
  <c r="AX8" i="8"/>
  <c r="AX7" i="8"/>
  <c r="AX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5" i="8"/>
  <c r="AL13" i="8" l="1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5" i="8"/>
  <c r="AL6" i="8"/>
  <c r="AL7" i="8"/>
  <c r="AL8" i="8"/>
  <c r="AL9" i="8"/>
  <c r="AL10" i="8"/>
  <c r="AL11" i="8"/>
  <c r="AL12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5" i="8"/>
  <c r="J5" i="8"/>
  <c r="J6" i="8"/>
  <c r="K6" i="8"/>
  <c r="L6" i="8"/>
  <c r="M6" i="8"/>
  <c r="N6" i="8"/>
  <c r="O6" i="8"/>
  <c r="J7" i="8"/>
  <c r="K7" i="8"/>
  <c r="L7" i="8"/>
  <c r="M7" i="8"/>
  <c r="N7" i="8"/>
  <c r="O7" i="8"/>
  <c r="J8" i="8"/>
  <c r="K8" i="8"/>
  <c r="L8" i="8"/>
  <c r="M8" i="8"/>
  <c r="N8" i="8"/>
  <c r="O8" i="8"/>
  <c r="J9" i="8"/>
  <c r="K9" i="8"/>
  <c r="L9" i="8"/>
  <c r="M9" i="8"/>
  <c r="N9" i="8"/>
  <c r="O9" i="8"/>
  <c r="J10" i="8"/>
  <c r="K10" i="8"/>
  <c r="L10" i="8"/>
  <c r="M10" i="8"/>
  <c r="N10" i="8"/>
  <c r="O10" i="8"/>
  <c r="J11" i="8"/>
  <c r="K11" i="8"/>
  <c r="L11" i="8"/>
  <c r="M11" i="8"/>
  <c r="N11" i="8"/>
  <c r="O11" i="8"/>
  <c r="J12" i="8"/>
  <c r="K12" i="8"/>
  <c r="L12" i="8"/>
  <c r="M12" i="8"/>
  <c r="N12" i="8"/>
  <c r="O12" i="8"/>
  <c r="J13" i="8"/>
  <c r="K13" i="8"/>
  <c r="L13" i="8"/>
  <c r="M13" i="8"/>
  <c r="N13" i="8"/>
  <c r="O13" i="8"/>
  <c r="J14" i="8"/>
  <c r="K14" i="8"/>
  <c r="L14" i="8"/>
  <c r="M14" i="8"/>
  <c r="N14" i="8"/>
  <c r="O14" i="8"/>
  <c r="J15" i="8"/>
  <c r="K15" i="8"/>
  <c r="L15" i="8"/>
  <c r="M15" i="8"/>
  <c r="N15" i="8"/>
  <c r="O15" i="8"/>
  <c r="J16" i="8"/>
  <c r="K16" i="8"/>
  <c r="L16" i="8"/>
  <c r="M16" i="8"/>
  <c r="N16" i="8"/>
  <c r="O16" i="8"/>
  <c r="J17" i="8"/>
  <c r="K17" i="8"/>
  <c r="L17" i="8"/>
  <c r="M17" i="8"/>
  <c r="N17" i="8"/>
  <c r="O17" i="8"/>
  <c r="J18" i="8"/>
  <c r="K18" i="8"/>
  <c r="L18" i="8"/>
  <c r="M18" i="8"/>
  <c r="N18" i="8"/>
  <c r="O18" i="8"/>
  <c r="J19" i="8"/>
  <c r="K19" i="8"/>
  <c r="L19" i="8"/>
  <c r="M19" i="8"/>
  <c r="N19" i="8"/>
  <c r="O19" i="8"/>
  <c r="J20" i="8"/>
  <c r="K20" i="8"/>
  <c r="L20" i="8"/>
  <c r="M20" i="8"/>
  <c r="N20" i="8"/>
  <c r="O20" i="8"/>
  <c r="J21" i="8"/>
  <c r="K21" i="8"/>
  <c r="L21" i="8"/>
  <c r="M21" i="8"/>
  <c r="N21" i="8"/>
  <c r="O21" i="8"/>
  <c r="J22" i="8"/>
  <c r="K22" i="8"/>
  <c r="L22" i="8"/>
  <c r="M22" i="8"/>
  <c r="N22" i="8"/>
  <c r="O22" i="8"/>
  <c r="J23" i="8"/>
  <c r="K23" i="8"/>
  <c r="L23" i="8"/>
  <c r="M23" i="8"/>
  <c r="N23" i="8"/>
  <c r="O23" i="8"/>
  <c r="J24" i="8"/>
  <c r="K24" i="8"/>
  <c r="L24" i="8"/>
  <c r="M24" i="8"/>
  <c r="N24" i="8"/>
  <c r="O24" i="8"/>
  <c r="J25" i="8"/>
  <c r="K25" i="8"/>
  <c r="L25" i="8"/>
  <c r="M25" i="8"/>
  <c r="N25" i="8"/>
  <c r="O25" i="8"/>
  <c r="J26" i="8"/>
  <c r="K26" i="8"/>
  <c r="L26" i="8"/>
  <c r="M26" i="8"/>
  <c r="N26" i="8"/>
  <c r="O26" i="8"/>
  <c r="J27" i="8"/>
  <c r="K27" i="8"/>
  <c r="L27" i="8"/>
  <c r="M27" i="8"/>
  <c r="N27" i="8"/>
  <c r="O27" i="8"/>
  <c r="J28" i="8"/>
  <c r="K28" i="8"/>
  <c r="L28" i="8"/>
  <c r="M28" i="8"/>
  <c r="N28" i="8"/>
  <c r="O28" i="8"/>
  <c r="J29" i="8"/>
  <c r="K29" i="8"/>
  <c r="L29" i="8"/>
  <c r="M29" i="8"/>
  <c r="N29" i="8"/>
  <c r="O29" i="8"/>
  <c r="J30" i="8"/>
  <c r="K30" i="8"/>
  <c r="L30" i="8"/>
  <c r="M30" i="8"/>
  <c r="N30" i="8"/>
  <c r="O30" i="8"/>
  <c r="J31" i="8"/>
  <c r="K31" i="8"/>
  <c r="L31" i="8"/>
  <c r="M31" i="8"/>
  <c r="N31" i="8"/>
  <c r="O31" i="8"/>
  <c r="J32" i="8"/>
  <c r="K32" i="8"/>
  <c r="L32" i="8"/>
  <c r="M32" i="8"/>
  <c r="N32" i="8"/>
  <c r="O32" i="8"/>
  <c r="J33" i="8"/>
  <c r="K33" i="8"/>
  <c r="L33" i="8"/>
  <c r="M33" i="8"/>
  <c r="N33" i="8"/>
  <c r="O33" i="8"/>
  <c r="J34" i="8"/>
  <c r="K34" i="8"/>
  <c r="L34" i="8"/>
  <c r="M34" i="8"/>
  <c r="N34" i="8"/>
  <c r="O34" i="8"/>
  <c r="L5" i="8"/>
  <c r="M5" i="8"/>
  <c r="N5" i="8"/>
  <c r="O5" i="8"/>
  <c r="Z6" i="8"/>
  <c r="AA6" i="8"/>
  <c r="AB6" i="8"/>
  <c r="AC6" i="8"/>
  <c r="Z7" i="8"/>
  <c r="AA7" i="8"/>
  <c r="AB7" i="8"/>
  <c r="Z8" i="8"/>
  <c r="AA8" i="8"/>
  <c r="AB8" i="8"/>
  <c r="Z9" i="8"/>
  <c r="AA9" i="8"/>
  <c r="AB9" i="8"/>
  <c r="AC9" i="8"/>
  <c r="Z10" i="8"/>
  <c r="AA10" i="8"/>
  <c r="AB10" i="8"/>
  <c r="Z11" i="8"/>
  <c r="AA11" i="8"/>
  <c r="AB11" i="8"/>
  <c r="Z12" i="8"/>
  <c r="AA12" i="8"/>
  <c r="AB12" i="8"/>
  <c r="AC12" i="8"/>
  <c r="Z13" i="8"/>
  <c r="AA13" i="8"/>
  <c r="AB13" i="8"/>
  <c r="Z14" i="8"/>
  <c r="AA14" i="8"/>
  <c r="AB14" i="8"/>
  <c r="Z15" i="8"/>
  <c r="AA15" i="8"/>
  <c r="AB15" i="8"/>
  <c r="AC15" i="8"/>
  <c r="Z16" i="8"/>
  <c r="AA16" i="8"/>
  <c r="AB16" i="8"/>
  <c r="Z17" i="8"/>
  <c r="AA17" i="8"/>
  <c r="AB17" i="8"/>
  <c r="AC17" i="8"/>
  <c r="Z18" i="8"/>
  <c r="AA18" i="8"/>
  <c r="AB18" i="8"/>
  <c r="Z19" i="8"/>
  <c r="AA19" i="8"/>
  <c r="AB19" i="8"/>
  <c r="Z20" i="8"/>
  <c r="AA20" i="8"/>
  <c r="AB20" i="8"/>
  <c r="Z21" i="8"/>
  <c r="AA21" i="8"/>
  <c r="AB21" i="8"/>
  <c r="Z22" i="8"/>
  <c r="AA22" i="8"/>
  <c r="AB22" i="8"/>
  <c r="Z23" i="8"/>
  <c r="AA23" i="8"/>
  <c r="AB23" i="8"/>
  <c r="Z24" i="8"/>
  <c r="AA24" i="8"/>
  <c r="AB24" i="8"/>
  <c r="Z25" i="8"/>
  <c r="AA25" i="8"/>
  <c r="AB25" i="8"/>
  <c r="Z26" i="8"/>
  <c r="AA26" i="8"/>
  <c r="AB26" i="8"/>
  <c r="Z27" i="8"/>
  <c r="AA27" i="8"/>
  <c r="AB27" i="8"/>
  <c r="Z28" i="8"/>
  <c r="AA28" i="8"/>
  <c r="AB28" i="8"/>
  <c r="Z29" i="8"/>
  <c r="AA29" i="8"/>
  <c r="AB29" i="8"/>
  <c r="Z30" i="8"/>
  <c r="AA30" i="8"/>
  <c r="AB30" i="8"/>
  <c r="Z31" i="8"/>
  <c r="AA31" i="8"/>
  <c r="AB31" i="8"/>
  <c r="Z32" i="8"/>
  <c r="AA32" i="8"/>
  <c r="AB32" i="8"/>
  <c r="Z33" i="8"/>
  <c r="AA33" i="8"/>
  <c r="AB33" i="8"/>
  <c r="Z34" i="8"/>
  <c r="AA34" i="8"/>
  <c r="AB34" i="8"/>
  <c r="AA5" i="8"/>
  <c r="AB5" i="8"/>
  <c r="AC5" i="8"/>
  <c r="Z5" i="8"/>
  <c r="Q1" i="7"/>
  <c r="O3" i="6"/>
  <c r="T5" i="3"/>
  <c r="T9" i="3"/>
  <c r="T12" i="3"/>
  <c r="T25" i="3"/>
  <c r="T26" i="3"/>
  <c r="T27" i="3"/>
  <c r="T28" i="3"/>
  <c r="T29" i="3"/>
  <c r="T30" i="3"/>
  <c r="T31" i="3"/>
  <c r="T32" i="3"/>
  <c r="T33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9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Q23" i="3"/>
  <c r="R23" i="3"/>
  <c r="Q24" i="3"/>
  <c r="R24" i="3"/>
  <c r="Q25" i="3"/>
  <c r="R25" i="3"/>
  <c r="Q26" i="3"/>
  <c r="R26" i="3"/>
  <c r="Q27" i="3"/>
  <c r="R27" i="3"/>
  <c r="Q28" i="3"/>
  <c r="R28" i="3"/>
  <c r="Q29" i="3"/>
  <c r="R29" i="3"/>
  <c r="Q30" i="3"/>
  <c r="R30" i="3"/>
  <c r="Q31" i="3"/>
  <c r="R31" i="3"/>
  <c r="Q32" i="3"/>
  <c r="R32" i="3"/>
  <c r="Q33" i="3"/>
  <c r="R33" i="3"/>
  <c r="Q4" i="3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3" i="6"/>
  <c r="S4" i="6"/>
  <c r="T4" i="6" s="1"/>
  <c r="S5" i="6"/>
  <c r="T5" i="6" s="1"/>
  <c r="S6" i="6"/>
  <c r="T6" i="6" s="1"/>
  <c r="S16" i="6"/>
  <c r="T16" i="6" s="1"/>
  <c r="S17" i="6"/>
  <c r="T17" i="6" s="1"/>
  <c r="S18" i="6"/>
  <c r="T18" i="6" s="1"/>
  <c r="S28" i="6"/>
  <c r="T28" i="6" s="1"/>
  <c r="S29" i="6"/>
  <c r="T29" i="6" s="1"/>
  <c r="S30" i="6"/>
  <c r="T30" i="6" s="1"/>
  <c r="S40" i="6"/>
  <c r="T40" i="6" s="1"/>
  <c r="S41" i="6"/>
  <c r="T41" i="6" s="1"/>
  <c r="S42" i="6"/>
  <c r="T42" i="6" s="1"/>
  <c r="R9" i="6"/>
  <c r="R10" i="6"/>
  <c r="R11" i="6"/>
  <c r="R12" i="6"/>
  <c r="R13" i="6"/>
  <c r="R21" i="6"/>
  <c r="R22" i="6"/>
  <c r="R23" i="6"/>
  <c r="R24" i="6"/>
  <c r="R25" i="6"/>
  <c r="R33" i="6"/>
  <c r="R34" i="6"/>
  <c r="R35" i="6"/>
  <c r="R36" i="6"/>
  <c r="R37" i="6"/>
  <c r="R3" i="6"/>
  <c r="Q4" i="6"/>
  <c r="R4" i="6" s="1"/>
  <c r="Q5" i="6"/>
  <c r="R5" i="6" s="1"/>
  <c r="Q6" i="6"/>
  <c r="R6" i="6" s="1"/>
  <c r="Q7" i="6"/>
  <c r="R7" i="6" s="1"/>
  <c r="Q8" i="6"/>
  <c r="R8" i="6" s="1"/>
  <c r="Q9" i="6"/>
  <c r="Q10" i="6"/>
  <c r="Q11" i="6"/>
  <c r="Q12" i="6"/>
  <c r="Q13" i="6"/>
  <c r="Q14" i="6"/>
  <c r="R14" i="6" s="1"/>
  <c r="Q15" i="6"/>
  <c r="R15" i="6" s="1"/>
  <c r="Q16" i="6"/>
  <c r="R16" i="6" s="1"/>
  <c r="Q17" i="6"/>
  <c r="R17" i="6" s="1"/>
  <c r="Q18" i="6"/>
  <c r="R18" i="6" s="1"/>
  <c r="Q19" i="6"/>
  <c r="R19" i="6" s="1"/>
  <c r="Q20" i="6"/>
  <c r="R20" i="6" s="1"/>
  <c r="Q21" i="6"/>
  <c r="Q22" i="6"/>
  <c r="Q23" i="6"/>
  <c r="Q24" i="6"/>
  <c r="Q25" i="6"/>
  <c r="Q26" i="6"/>
  <c r="R26" i="6" s="1"/>
  <c r="Q27" i="6"/>
  <c r="R27" i="6" s="1"/>
  <c r="Q28" i="6"/>
  <c r="R28" i="6" s="1"/>
  <c r="Q29" i="6"/>
  <c r="R29" i="6" s="1"/>
  <c r="Q30" i="6"/>
  <c r="R30" i="6" s="1"/>
  <c r="Q31" i="6"/>
  <c r="R31" i="6" s="1"/>
  <c r="Q32" i="6"/>
  <c r="R32" i="6" s="1"/>
  <c r="Q33" i="6"/>
  <c r="Q34" i="6"/>
  <c r="Q35" i="6"/>
  <c r="Q36" i="6"/>
  <c r="Q37" i="6"/>
  <c r="Q38" i="6"/>
  <c r="R38" i="6" s="1"/>
  <c r="Q39" i="6"/>
  <c r="R39" i="6" s="1"/>
  <c r="Q40" i="6"/>
  <c r="R40" i="6" s="1"/>
  <c r="Q41" i="6"/>
  <c r="R41" i="6" s="1"/>
  <c r="Q42" i="6"/>
  <c r="R42" i="6" s="1"/>
  <c r="Q43" i="6"/>
  <c r="R43" i="6" s="1"/>
  <c r="P4" i="6"/>
  <c r="P5" i="6"/>
  <c r="P6" i="6"/>
  <c r="P7" i="6"/>
  <c r="P8" i="6"/>
  <c r="P9" i="6"/>
  <c r="P10" i="6"/>
  <c r="P11" i="6"/>
  <c r="P12" i="6"/>
  <c r="P13" i="6"/>
  <c r="S13" i="6" s="1"/>
  <c r="T13" i="6" s="1"/>
  <c r="P14" i="6"/>
  <c r="S14" i="6" s="1"/>
  <c r="T14" i="6" s="1"/>
  <c r="P15" i="6"/>
  <c r="S15" i="6" s="1"/>
  <c r="T15" i="6" s="1"/>
  <c r="P16" i="6"/>
  <c r="P17" i="6"/>
  <c r="P18" i="6"/>
  <c r="P19" i="6"/>
  <c r="P20" i="6"/>
  <c r="P21" i="6"/>
  <c r="P22" i="6"/>
  <c r="P23" i="6"/>
  <c r="P24" i="6"/>
  <c r="P25" i="6"/>
  <c r="S25" i="6" s="1"/>
  <c r="T25" i="6" s="1"/>
  <c r="P26" i="6"/>
  <c r="S26" i="6" s="1"/>
  <c r="T26" i="6" s="1"/>
  <c r="P27" i="6"/>
  <c r="S27" i="6" s="1"/>
  <c r="T27" i="6" s="1"/>
  <c r="P28" i="6"/>
  <c r="P29" i="6"/>
  <c r="P30" i="6"/>
  <c r="P31" i="6"/>
  <c r="P32" i="6"/>
  <c r="P33" i="6"/>
  <c r="P34" i="6"/>
  <c r="P35" i="6"/>
  <c r="P36" i="6"/>
  <c r="P37" i="6"/>
  <c r="S37" i="6" s="1"/>
  <c r="T37" i="6" s="1"/>
  <c r="P38" i="6"/>
  <c r="S38" i="6" s="1"/>
  <c r="T38" i="6" s="1"/>
  <c r="P39" i="6"/>
  <c r="S39" i="6" s="1"/>
  <c r="T39" i="6" s="1"/>
  <c r="P40" i="6"/>
  <c r="P41" i="6"/>
  <c r="P42" i="6"/>
  <c r="P43" i="6"/>
  <c r="P3" i="6"/>
  <c r="Q3" i="6"/>
  <c r="O4" i="6"/>
  <c r="O5" i="6"/>
  <c r="O6" i="6"/>
  <c r="O7" i="6"/>
  <c r="S7" i="6" s="1"/>
  <c r="T7" i="6" s="1"/>
  <c r="O8" i="6"/>
  <c r="S8" i="6" s="1"/>
  <c r="T8" i="6" s="1"/>
  <c r="O9" i="6"/>
  <c r="S9" i="6" s="1"/>
  <c r="T9" i="6" s="1"/>
  <c r="O10" i="6"/>
  <c r="S10" i="6" s="1"/>
  <c r="T10" i="6" s="1"/>
  <c r="O11" i="6"/>
  <c r="S11" i="6" s="1"/>
  <c r="T11" i="6" s="1"/>
  <c r="O12" i="6"/>
  <c r="S12" i="6" s="1"/>
  <c r="T12" i="6" s="1"/>
  <c r="O13" i="6"/>
  <c r="O14" i="6"/>
  <c r="O15" i="6"/>
  <c r="O16" i="6"/>
  <c r="O17" i="6"/>
  <c r="O18" i="6"/>
  <c r="O19" i="6"/>
  <c r="S19" i="6" s="1"/>
  <c r="T19" i="6" s="1"/>
  <c r="O20" i="6"/>
  <c r="S20" i="6" s="1"/>
  <c r="T20" i="6" s="1"/>
  <c r="O21" i="6"/>
  <c r="S21" i="6" s="1"/>
  <c r="T21" i="6" s="1"/>
  <c r="O22" i="6"/>
  <c r="S22" i="6" s="1"/>
  <c r="T22" i="6" s="1"/>
  <c r="O23" i="6"/>
  <c r="S23" i="6" s="1"/>
  <c r="T23" i="6" s="1"/>
  <c r="O24" i="6"/>
  <c r="S24" i="6" s="1"/>
  <c r="T24" i="6" s="1"/>
  <c r="O25" i="6"/>
  <c r="O26" i="6"/>
  <c r="O27" i="6"/>
  <c r="O28" i="6"/>
  <c r="O29" i="6"/>
  <c r="O30" i="6"/>
  <c r="O31" i="6"/>
  <c r="S31" i="6" s="1"/>
  <c r="T31" i="6" s="1"/>
  <c r="O32" i="6"/>
  <c r="S32" i="6" s="1"/>
  <c r="T32" i="6" s="1"/>
  <c r="O33" i="6"/>
  <c r="S33" i="6" s="1"/>
  <c r="T33" i="6" s="1"/>
  <c r="O34" i="6"/>
  <c r="S34" i="6" s="1"/>
  <c r="T34" i="6" s="1"/>
  <c r="O35" i="6"/>
  <c r="S35" i="6" s="1"/>
  <c r="T35" i="6" s="1"/>
  <c r="O36" i="6"/>
  <c r="S36" i="6" s="1"/>
  <c r="T36" i="6" s="1"/>
  <c r="O37" i="6"/>
  <c r="O38" i="6"/>
  <c r="O39" i="6"/>
  <c r="O40" i="6"/>
  <c r="O41" i="6"/>
  <c r="O42" i="6"/>
  <c r="O43" i="6"/>
  <c r="S43" i="6" s="1"/>
  <c r="T43" i="6" s="1"/>
  <c r="S3" i="6"/>
  <c r="T3" i="6" s="1"/>
  <c r="AN28" i="8" l="1"/>
  <c r="AN26" i="8"/>
  <c r="AN16" i="8"/>
  <c r="AN14" i="8"/>
  <c r="AN29" i="8"/>
  <c r="AN24" i="8"/>
  <c r="AN12" i="8"/>
  <c r="AN15" i="8"/>
  <c r="AN23" i="8"/>
  <c r="AN11" i="8"/>
  <c r="AN25" i="8"/>
  <c r="AN5" i="8"/>
  <c r="AN34" i="8"/>
  <c r="AN22" i="8"/>
  <c r="AN10" i="8"/>
  <c r="AN27" i="8"/>
  <c r="AN33" i="8"/>
  <c r="AN21" i="8"/>
  <c r="AN9" i="8"/>
  <c r="AN13" i="8"/>
  <c r="AN32" i="8"/>
  <c r="AN20" i="8"/>
  <c r="AN8" i="8"/>
  <c r="AN17" i="8"/>
  <c r="AN31" i="8"/>
  <c r="AN19" i="8"/>
  <c r="AN7" i="8"/>
  <c r="AN30" i="8"/>
  <c r="AN18" i="8"/>
  <c r="AN6" i="8"/>
  <c r="F4" i="1"/>
  <c r="F3" i="1"/>
  <c r="C3" i="1"/>
  <c r="C4" i="1"/>
</calcChain>
</file>

<file path=xl/sharedStrings.xml><?xml version="1.0" encoding="utf-8"?>
<sst xmlns="http://schemas.openxmlformats.org/spreadsheetml/2006/main" count="1723" uniqueCount="826">
  <si>
    <t>Zona</t>
  </si>
  <si>
    <t>Z base(ohm)</t>
  </si>
  <si>
    <t>V base(kV)</t>
  </si>
  <si>
    <t>Sbase(MVA)</t>
  </si>
  <si>
    <t>I base(A)</t>
  </si>
  <si>
    <t>Barras</t>
  </si>
  <si>
    <t>Bus</t>
  </si>
  <si>
    <t>Tipo de bus</t>
  </si>
  <si>
    <t>Type</t>
  </si>
  <si>
    <t>Pd</t>
  </si>
  <si>
    <t>Qd</t>
  </si>
  <si>
    <t>Gs</t>
  </si>
  <si>
    <t>Bs</t>
  </si>
  <si>
    <t>area</t>
  </si>
  <si>
    <t>Vm</t>
  </si>
  <si>
    <t>Va</t>
  </si>
  <si>
    <t>Base kV.</t>
  </si>
  <si>
    <t>Vmax</t>
  </si>
  <si>
    <t>Vmin</t>
  </si>
  <si>
    <t>PD</t>
  </si>
  <si>
    <t>QD</t>
  </si>
  <si>
    <t>PDEF</t>
  </si>
  <si>
    <t>QDEF</t>
  </si>
  <si>
    <t>Slack</t>
  </si>
  <si>
    <t>1.06</t>
  </si>
  <si>
    <t>0.94;</t>
  </si>
  <si>
    <t>PV</t>
  </si>
  <si>
    <t>21.7</t>
  </si>
  <si>
    <t>12.7</t>
  </si>
  <si>
    <t>-5.48</t>
  </si>
  <si>
    <t>PQ</t>
  </si>
  <si>
    <t>2.4</t>
  </si>
  <si>
    <t>1.2</t>
  </si>
  <si>
    <t>-7.96</t>
  </si>
  <si>
    <t>7.6</t>
  </si>
  <si>
    <t>1.6</t>
  </si>
  <si>
    <t>-9.62</t>
  </si>
  <si>
    <t>94.2</t>
  </si>
  <si>
    <t>1.01</t>
  </si>
  <si>
    <t>-14.37</t>
  </si>
  <si>
    <t>-11.34</t>
  </si>
  <si>
    <t>22.8</t>
  </si>
  <si>
    <t>10.9</t>
  </si>
  <si>
    <t>-13.12</t>
  </si>
  <si>
    <t>-12.1</t>
  </si>
  <si>
    <t>-14.38</t>
  </si>
  <si>
    <t>5.8</t>
  </si>
  <si>
    <t>-15.97</t>
  </si>
  <si>
    <t>-14.39</t>
  </si>
  <si>
    <t>11.2</t>
  </si>
  <si>
    <t>7.5</t>
  </si>
  <si>
    <t>-15.24</t>
  </si>
  <si>
    <t>6.2</t>
  </si>
  <si>
    <t>-16.13</t>
  </si>
  <si>
    <t>8.2</t>
  </si>
  <si>
    <t>2.5</t>
  </si>
  <si>
    <t>-16.22</t>
  </si>
  <si>
    <t>3.5</t>
  </si>
  <si>
    <t>1.8</t>
  </si>
  <si>
    <t>-15.83</t>
  </si>
  <si>
    <t>1.04</t>
  </si>
  <si>
    <t>-16.14</t>
  </si>
  <si>
    <t>3.2</t>
  </si>
  <si>
    <t>0.9</t>
  </si>
  <si>
    <t>-16.82</t>
  </si>
  <si>
    <t>9.5</t>
  </si>
  <si>
    <t>3.4</t>
  </si>
  <si>
    <t>2.2</t>
  </si>
  <si>
    <t>0.7</t>
  </si>
  <si>
    <t>1.03</t>
  </si>
  <si>
    <t>-16.8</t>
  </si>
  <si>
    <t>17.5</t>
  </si>
  <si>
    <t>-16.42</t>
  </si>
  <si>
    <t>-16.41</t>
  </si>
  <si>
    <t>-16.61</t>
  </si>
  <si>
    <t>8.7</t>
  </si>
  <si>
    <t>6.7</t>
  </si>
  <si>
    <t>4.3</t>
  </si>
  <si>
    <t>-16.78</t>
  </si>
  <si>
    <t>-16.35</t>
  </si>
  <si>
    <t>2.3</t>
  </si>
  <si>
    <t>-16.77</t>
  </si>
  <si>
    <t>-15.82</t>
  </si>
  <si>
    <t>-11.97</t>
  </si>
  <si>
    <t>-17.06</t>
  </si>
  <si>
    <t>10.6</t>
  </si>
  <si>
    <t>1.9</t>
  </si>
  <si>
    <t>0.992</t>
  </si>
  <si>
    <t>-17.94</t>
  </si>
  <si>
    <t>Lineas de transmision</t>
  </si>
  <si>
    <t xml:space="preserve">fbus </t>
  </si>
  <si>
    <t xml:space="preserve"> 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</si>
  <si>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</si>
  <si>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</si>
  <si>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</si>
  <si>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</si>
  <si>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</si>
  <si>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</si>
  <si>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</si>
  <si>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</si>
  <si>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</si>
  <si>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</si>
  <si>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</si>
  <si>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R</t>
  </si>
  <si>
    <t>X</t>
  </si>
  <si>
    <t>B</t>
  </si>
  <si>
    <t>B/2</t>
  </si>
  <si>
    <t>Complejo(R+jX)</t>
  </si>
  <si>
    <t>1/complejo</t>
  </si>
  <si>
    <t>j B/2</t>
  </si>
  <si>
    <t>0.0192</t>
  </si>
  <si>
    <t>0.0575</t>
  </si>
  <si>
    <t>0.0528</t>
  </si>
  <si>
    <t>360;</t>
  </si>
  <si>
    <t>0.0452</t>
  </si>
  <si>
    <t>0.1652</t>
  </si>
  <si>
    <t>0.0408</t>
  </si>
  <si>
    <t>0.057</t>
  </si>
  <si>
    <t>0.1737</t>
  </si>
  <si>
    <t>0.0368</t>
  </si>
  <si>
    <t>0.0132</t>
  </si>
  <si>
    <t>0.0379</t>
  </si>
  <si>
    <t>0.0084</t>
  </si>
  <si>
    <t>0.0472</t>
  </si>
  <si>
    <t>0.1983</t>
  </si>
  <si>
    <t>0.0418</t>
  </si>
  <si>
    <t>0.0581</t>
  </si>
  <si>
    <t>0.1763</t>
  </si>
  <si>
    <t>0.0374</t>
  </si>
  <si>
    <t>0.0119</t>
  </si>
  <si>
    <t>0.0414</t>
  </si>
  <si>
    <t>0.009</t>
  </si>
  <si>
    <t>0.046</t>
  </si>
  <si>
    <t>0.116</t>
  </si>
  <si>
    <t>0.0204</t>
  </si>
  <si>
    <t>0.0267</t>
  </si>
  <si>
    <t>0.082</t>
  </si>
  <si>
    <t>0.017</t>
  </si>
  <si>
    <t>0.012</t>
  </si>
  <si>
    <t>0.042</t>
  </si>
  <si>
    <t>0.208</t>
  </si>
  <si>
    <t>0.978</t>
  </si>
  <si>
    <t>0.556</t>
  </si>
  <si>
    <t>0.969</t>
  </si>
  <si>
    <t>0.11</t>
  </si>
  <si>
    <t>0.256</t>
  </si>
  <si>
    <t>0.932</t>
  </si>
  <si>
    <t>0.14</t>
  </si>
  <si>
    <t>0.1231</t>
  </si>
  <si>
    <t>0.2559</t>
  </si>
  <si>
    <t>0.0662</t>
  </si>
  <si>
    <t>0.1304</t>
  </si>
  <si>
    <t>0.0945</t>
  </si>
  <si>
    <t>0.1987</t>
  </si>
  <si>
    <t>0.221</t>
  </si>
  <si>
    <t>0.1997</t>
  </si>
  <si>
    <t>0.0524</t>
  </si>
  <si>
    <t>0.1923</t>
  </si>
  <si>
    <t>0.1073</t>
  </si>
  <si>
    <t>0.2185</t>
  </si>
  <si>
    <t>0.0639</t>
  </si>
  <si>
    <t>0.1292</t>
  </si>
  <si>
    <t>0.034</t>
  </si>
  <si>
    <t>0.068</t>
  </si>
  <si>
    <t>0.0936</t>
  </si>
  <si>
    <t>0.209</t>
  </si>
  <si>
    <t>0.0324</t>
  </si>
  <si>
    <t>0.0845</t>
  </si>
  <si>
    <t>0.0348</t>
  </si>
  <si>
    <t>0.0749</t>
  </si>
  <si>
    <t>0.0727</t>
  </si>
  <si>
    <t>0.1499</t>
  </si>
  <si>
    <t>0.0116</t>
  </si>
  <si>
    <t>0.0236</t>
  </si>
  <si>
    <t>0.1</t>
  </si>
  <si>
    <t>0.202</t>
  </si>
  <si>
    <t>0.115</t>
  </si>
  <si>
    <t>0.179</t>
  </si>
  <si>
    <t>0.132</t>
  </si>
  <si>
    <t>0.27</t>
  </si>
  <si>
    <t>0.1885</t>
  </si>
  <si>
    <t>0.3292</t>
  </si>
  <si>
    <t>0.2544</t>
  </si>
  <si>
    <t>0.38</t>
  </si>
  <si>
    <t>0.1093</t>
  </si>
  <si>
    <t>0.2087</t>
  </si>
  <si>
    <t>0.396</t>
  </si>
  <si>
    <t>0.968</t>
  </si>
  <si>
    <t>0.2198</t>
  </si>
  <si>
    <t>0.4153</t>
  </si>
  <si>
    <t>0.3202</t>
  </si>
  <si>
    <t>0.6027</t>
  </si>
  <si>
    <t>0.2399</t>
  </si>
  <si>
    <t>0.4533</t>
  </si>
  <si>
    <t>0.0636</t>
  </si>
  <si>
    <t>0.2</t>
  </si>
  <si>
    <t>0.0428</t>
  </si>
  <si>
    <t>0.0169</t>
  </si>
  <si>
    <t>0.0599</t>
  </si>
  <si>
    <t>0.013</t>
  </si>
  <si>
    <t>Generacion</t>
  </si>
  <si>
    <t>Pg</t>
  </si>
  <si>
    <t>Qg</t>
  </si>
  <si>
    <t>Qmax</t>
  </si>
  <si>
    <t>Qmin</t>
  </si>
  <si>
    <t>Vg</t>
  </si>
  <si>
    <t>mBase</t>
  </si>
  <si>
    <t>Pmax</t>
  </si>
  <si>
    <t>260.2</t>
  </si>
  <si>
    <t>-16.1</t>
  </si>
  <si>
    <t>360.2</t>
  </si>
  <si>
    <t>37.3</t>
  </si>
  <si>
    <t>16.2</t>
  </si>
  <si>
    <t>RESULTADOS CASO BASE</t>
  </si>
  <si>
    <t>No.</t>
  </si>
  <si>
    <t>MW</t>
  </si>
  <si>
    <t>%</t>
  </si>
  <si>
    <t>MVAr</t>
  </si>
  <si>
    <t>Voltage (pu)</t>
  </si>
  <si>
    <t>Angle (deg)</t>
  </si>
  <si>
    <t>Pg (MW)</t>
  </si>
  <si>
    <t>Qg (MVAr)</t>
  </si>
  <si>
    <t>Pl(MW)</t>
  </si>
  <si>
    <t>Ql (MVAr)</t>
  </si>
  <si>
    <t>P neta</t>
  </si>
  <si>
    <t>Q neta</t>
  </si>
  <si>
    <t>Línea</t>
  </si>
  <si>
    <t>1–2:</t>
  </si>
  <si>
    <t>1–3:</t>
  </si>
  <si>
    <t>2–5:</t>
  </si>
  <si>
    <t>2–6:</t>
  </si>
  <si>
    <t>2–4:</t>
  </si>
  <si>
    <t>3–4:</t>
  </si>
  <si>
    <t>4–6:</t>
  </si>
  <si>
    <t>6–7:</t>
  </si>
  <si>
    <t>12–15:</t>
  </si>
  <si>
    <t>5–7:</t>
  </si>
  <si>
    <t>27–30:</t>
  </si>
  <si>
    <t>10–21:</t>
  </si>
  <si>
    <t>6–8:</t>
  </si>
  <si>
    <t>27–29:</t>
  </si>
  <si>
    <t>9-10:</t>
  </si>
  <si>
    <t>12-14:</t>
  </si>
  <si>
    <t>10–20:</t>
  </si>
  <si>
    <t>15-18:</t>
  </si>
  <si>
    <t>25–26:</t>
  </si>
  <si>
    <t>22–24:</t>
  </si>
  <si>
    <t>29–30:</t>
  </si>
  <si>
    <t>15–23:</t>
  </si>
  <si>
    <t>25–27:</t>
  </si>
  <si>
    <t>10–22:</t>
  </si>
  <si>
    <t>12–16:</t>
  </si>
  <si>
    <t>24–25:</t>
  </si>
  <si>
    <t>16–17:</t>
  </si>
  <si>
    <t>14–15:</t>
  </si>
  <si>
    <t>23–24:</t>
  </si>
  <si>
    <t>18–19:</t>
  </si>
  <si>
    <t>8–28:</t>
  </si>
  <si>
    <t>21–22:</t>
  </si>
  <si>
    <t>6–9:</t>
  </si>
  <si>
    <t>6–10:</t>
  </si>
  <si>
    <t>9–11:</t>
  </si>
  <si>
    <t>6-28:</t>
  </si>
  <si>
    <t>4–12:</t>
  </si>
  <si>
    <t>12–13:</t>
  </si>
  <si>
    <t>28–27:</t>
  </si>
  <si>
    <t>10–17:</t>
  </si>
  <si>
    <t>19–20:</t>
  </si>
  <si>
    <t>RESULTADOS ESPERADOS</t>
  </si>
  <si>
    <t xml:space="preserve">RESULTADOS OBTENIDOS </t>
  </si>
  <si>
    <t>Voltage</t>
  </si>
  <si>
    <t>Angle</t>
  </si>
  <si>
    <t>Pl</t>
  </si>
  <si>
    <t>Ql</t>
  </si>
  <si>
    <t>Voltaje</t>
  </si>
  <si>
    <t>PG-Pl</t>
  </si>
  <si>
    <t>QG-Ql</t>
  </si>
  <si>
    <t>Rango CREG</t>
  </si>
  <si>
    <t>bus</t>
  </si>
  <si>
    <t>Voltaje(pu)</t>
  </si>
  <si>
    <t>y(f,t)</t>
  </si>
  <si>
    <t>(pu)</t>
  </si>
  <si>
    <t>(deg)</t>
  </si>
  <si>
    <t>(MW)</t>
  </si>
  <si>
    <t>(MVAr)</t>
  </si>
  <si>
    <t>V Error [%]</t>
  </si>
  <si>
    <t>Diferencia V angle</t>
  </si>
  <si>
    <t>limite superior [kV]</t>
  </si>
  <si>
    <t>limite inferior[kV]</t>
  </si>
  <si>
    <t>V[KV]</t>
  </si>
  <si>
    <t xml:space="preserve">voltaje </t>
  </si>
  <si>
    <t xml:space="preserve">angulo </t>
  </si>
  <si>
    <t>from</t>
  </si>
  <si>
    <t>to</t>
  </si>
  <si>
    <t>P_from (MW)</t>
  </si>
  <si>
    <t>Q_from (MVAr)</t>
  </si>
  <si>
    <t>P_to (MW)</t>
  </si>
  <si>
    <t>Q_to (MVAr)</t>
  </si>
  <si>
    <t>P_loss (MW)</t>
  </si>
  <si>
    <t>Q_loss (MVAr)</t>
  </si>
  <si>
    <t>1.060</t>
  </si>
  <si>
    <t>0.000*</t>
  </si>
  <si>
    <t>260.96</t>
  </si>
  <si>
    <t>-20.42</t>
  </si>
  <si>
    <t>-</t>
  </si>
  <si>
    <t>1.0600</t>
  </si>
  <si>
    <t>0.0000</t>
  </si>
  <si>
    <t>260.200</t>
  </si>
  <si>
    <t>-20.418</t>
  </si>
  <si>
    <t>0.000</t>
  </si>
  <si>
    <t>0,00%</t>
  </si>
  <si>
    <t>1.045</t>
  </si>
  <si>
    <t>-5.378</t>
  </si>
  <si>
    <t>40.00</t>
  </si>
  <si>
    <t>56.07</t>
  </si>
  <si>
    <t>21.70</t>
  </si>
  <si>
    <t>12.70</t>
  </si>
  <si>
    <t>1.0450</t>
  </si>
  <si>
    <t>-5.3782</t>
  </si>
  <si>
    <t>40.000</t>
  </si>
  <si>
    <t>56.069</t>
  </si>
  <si>
    <t>21.700</t>
  </si>
  <si>
    <t>12.700</t>
  </si>
  <si>
    <t>0,0002</t>
  </si>
  <si>
    <t>1.021</t>
  </si>
  <si>
    <t>-7.529</t>
  </si>
  <si>
    <t>2.40</t>
  </si>
  <si>
    <t>1.20</t>
  </si>
  <si>
    <t>1.0212</t>
  </si>
  <si>
    <t>-7.5287</t>
  </si>
  <si>
    <t>---</t>
  </si>
  <si>
    <t>2.400</t>
  </si>
  <si>
    <t>1.200</t>
  </si>
  <si>
    <t>0,02%</t>
  </si>
  <si>
    <t>-0,0003</t>
  </si>
  <si>
    <t>1.012</t>
  </si>
  <si>
    <t>-9.279</t>
  </si>
  <si>
    <t>7.60</t>
  </si>
  <si>
    <t>1.60</t>
  </si>
  <si>
    <t>1.0123</t>
  </si>
  <si>
    <t>-9.2794</t>
  </si>
  <si>
    <t>7.600</t>
  </si>
  <si>
    <t>1.600</t>
  </si>
  <si>
    <t>0,03%</t>
  </si>
  <si>
    <t>0,0004</t>
  </si>
  <si>
    <t>1.010</t>
  </si>
  <si>
    <t>-14.149</t>
  </si>
  <si>
    <t>0.00</t>
  </si>
  <si>
    <t>35.66</t>
  </si>
  <si>
    <t>94.20</t>
  </si>
  <si>
    <t>19.00</t>
  </si>
  <si>
    <t>1.0100</t>
  </si>
  <si>
    <t>-14.1488</t>
  </si>
  <si>
    <t>35.659</t>
  </si>
  <si>
    <t>94.200</t>
  </si>
  <si>
    <t>19.000</t>
  </si>
  <si>
    <t>-0,0002</t>
  </si>
  <si>
    <t>1.011</t>
  </si>
  <si>
    <t>-11.055</t>
  </si>
  <si>
    <t>1.0106</t>
  </si>
  <si>
    <t>-11.0550</t>
  </si>
  <si>
    <t>0,04%</t>
  </si>
  <si>
    <t>1.003</t>
  </si>
  <si>
    <t>-12.852</t>
  </si>
  <si>
    <t>22.80</t>
  </si>
  <si>
    <t>10.90</t>
  </si>
  <si>
    <t>1.0026</t>
  </si>
  <si>
    <t>-12.8523</t>
  </si>
  <si>
    <t>22.800</t>
  </si>
  <si>
    <t>10.900</t>
  </si>
  <si>
    <t>0,0003</t>
  </si>
  <si>
    <t>-11.797</t>
  </si>
  <si>
    <t>36.11</t>
  </si>
  <si>
    <t>30.00</t>
  </si>
  <si>
    <t>-11.7974</t>
  </si>
  <si>
    <t>36.111</t>
  </si>
  <si>
    <t>30.000</t>
  </si>
  <si>
    <t>1.051</t>
  </si>
  <si>
    <t>-14.098</t>
  </si>
  <si>
    <t>1.0511</t>
  </si>
  <si>
    <t>-14.0980</t>
  </si>
  <si>
    <t>0,01%</t>
  </si>
  <si>
    <t>-15.688</t>
  </si>
  <si>
    <t>5.80</t>
  </si>
  <si>
    <t>2.00</t>
  </si>
  <si>
    <t>1.0454</t>
  </si>
  <si>
    <t>-15.6882</t>
  </si>
  <si>
    <t>5.800</t>
  </si>
  <si>
    <t>2.000</t>
  </si>
  <si>
    <t>1.082</t>
  </si>
  <si>
    <t>16.06</t>
  </si>
  <si>
    <t>1.0820</t>
  </si>
  <si>
    <t>16.057</t>
  </si>
  <si>
    <t>1.057</t>
  </si>
  <si>
    <t>-14.933</t>
  </si>
  <si>
    <t>11.20</t>
  </si>
  <si>
    <t>7.50</t>
  </si>
  <si>
    <t>1.0573</t>
  </si>
  <si>
    <t>-14.9329</t>
  </si>
  <si>
    <t>11.200</t>
  </si>
  <si>
    <t>7.500</t>
  </si>
  <si>
    <t>1.071</t>
  </si>
  <si>
    <t>10.45</t>
  </si>
  <si>
    <t>1.0710</t>
  </si>
  <si>
    <t>10.451</t>
  </si>
  <si>
    <t>1.043</t>
  </si>
  <si>
    <t>-15.825</t>
  </si>
  <si>
    <t>6.20</t>
  </si>
  <si>
    <t>1.0425</t>
  </si>
  <si>
    <t>-15.8245</t>
  </si>
  <si>
    <t>6.200</t>
  </si>
  <si>
    <t>0,05%</t>
  </si>
  <si>
    <t>-0,0005</t>
  </si>
  <si>
    <t>1.038</t>
  </si>
  <si>
    <t>-15.916</t>
  </si>
  <si>
    <t>8.20</t>
  </si>
  <si>
    <t>2.50</t>
  </si>
  <si>
    <t>1.0379</t>
  </si>
  <si>
    <t>-15.9164</t>
  </si>
  <si>
    <t>8.200</t>
  </si>
  <si>
    <t>2.500</t>
  </si>
  <si>
    <t>-15.515</t>
  </si>
  <si>
    <t>3.50</t>
  </si>
  <si>
    <t>1.80</t>
  </si>
  <si>
    <t>1.0446</t>
  </si>
  <si>
    <t>-15.5154</t>
  </si>
  <si>
    <t>3.500</t>
  </si>
  <si>
    <t>1.800</t>
  </si>
  <si>
    <t>1.040</t>
  </si>
  <si>
    <t>-15.850</t>
  </si>
  <si>
    <t>9.00</t>
  </si>
  <si>
    <t>1.0402</t>
  </si>
  <si>
    <t>-15.8499</t>
  </si>
  <si>
    <t>9.000</t>
  </si>
  <si>
    <t>1.028</t>
  </si>
  <si>
    <t>-16.530</t>
  </si>
  <si>
    <t>3.20</t>
  </si>
  <si>
    <t>0.90</t>
  </si>
  <si>
    <t>1.0284</t>
  </si>
  <si>
    <t>-16.5302</t>
  </si>
  <si>
    <t>3.200</t>
  </si>
  <si>
    <t>0.900</t>
  </si>
  <si>
    <t>1.026</t>
  </si>
  <si>
    <t>-16.704</t>
  </si>
  <si>
    <t>9.50</t>
  </si>
  <si>
    <t>3.40</t>
  </si>
  <si>
    <t>1.0259</t>
  </si>
  <si>
    <t>-16.7037</t>
  </si>
  <si>
    <t>9.500</t>
  </si>
  <si>
    <t>3.400</t>
  </si>
  <si>
    <t>1.030</t>
  </si>
  <si>
    <t>-16.507</t>
  </si>
  <si>
    <t>2.20</t>
  </si>
  <si>
    <t>0.70</t>
  </si>
  <si>
    <t>1.0300</t>
  </si>
  <si>
    <t>-16.5072</t>
  </si>
  <si>
    <t>2.200</t>
  </si>
  <si>
    <t>0.700</t>
  </si>
  <si>
    <t>1.033</t>
  </si>
  <si>
    <t>-16.131</t>
  </si>
  <si>
    <t>17.50</t>
  </si>
  <si>
    <t>1.0330</t>
  </si>
  <si>
    <t>-16.1307</t>
  </si>
  <si>
    <t>17.500</t>
  </si>
  <si>
    <t>1.034</t>
  </si>
  <si>
    <t>-16.116</t>
  </si>
  <si>
    <t>1.0335</t>
  </si>
  <si>
    <t>-16.1164</t>
  </si>
  <si>
    <t>1.027</t>
  </si>
  <si>
    <t>-16.307</t>
  </si>
  <si>
    <t>1.0274</t>
  </si>
  <si>
    <t>-16.3066</t>
  </si>
  <si>
    <t>-0,0004</t>
  </si>
  <si>
    <t>1.022</t>
  </si>
  <si>
    <t>-16.483</t>
  </si>
  <si>
    <t>8.70</t>
  </si>
  <si>
    <t>6.70</t>
  </si>
  <si>
    <t>1.0218</t>
  </si>
  <si>
    <t>-16.4828</t>
  </si>
  <si>
    <t>8.700</t>
  </si>
  <si>
    <t>6.700</t>
  </si>
  <si>
    <t>1.018</t>
  </si>
  <si>
    <t>-16.055</t>
  </si>
  <si>
    <t>1.0176</t>
  </si>
  <si>
    <t>-16.0546</t>
  </si>
  <si>
    <t>1.000</t>
  </si>
  <si>
    <t>-16.474</t>
  </si>
  <si>
    <t>2.30</t>
  </si>
  <si>
    <t>0.9999</t>
  </si>
  <si>
    <t>-16.4740</t>
  </si>
  <si>
    <t>2.300</t>
  </si>
  <si>
    <t>1.024</t>
  </si>
  <si>
    <t>-15.530</t>
  </si>
  <si>
    <t>1.0235</t>
  </si>
  <si>
    <t>-15.5301</t>
  </si>
  <si>
    <t>1.007</t>
  </si>
  <si>
    <t>-11.677</t>
  </si>
  <si>
    <t>1.0071</t>
  </si>
  <si>
    <t>-11.6773</t>
  </si>
  <si>
    <t>1.004</t>
  </si>
  <si>
    <t>-16.759</t>
  </si>
  <si>
    <t>1.0037</t>
  </si>
  <si>
    <t>-16.7593</t>
  </si>
  <si>
    <t>-17.642</t>
  </si>
  <si>
    <t>10.60</t>
  </si>
  <si>
    <t>1.90</t>
  </si>
  <si>
    <t>0.9922</t>
  </si>
  <si>
    <t>-17.6416</t>
  </si>
  <si>
    <t>10.600</t>
  </si>
  <si>
    <t>1.900</t>
  </si>
  <si>
    <t>--------</t>
  </si>
  <si>
    <t>Total:</t>
  </si>
  <si>
    <t>300.96</t>
  </si>
  <si>
    <t>133.93</t>
  </si>
  <si>
    <t>283.40</t>
  </si>
  <si>
    <t>126.20</t>
  </si>
  <si>
    <t>Comparacion con el caso A</t>
  </si>
  <si>
    <t>PG-Pl (MW)</t>
  </si>
  <si>
    <t>QG-Ql(MVAr)</t>
  </si>
  <si>
    <t>-6.1050</t>
  </si>
  <si>
    <t>-8.4257</t>
  </si>
  <si>
    <t>-10.3952</t>
  </si>
  <si>
    <t>-15.8379</t>
  </si>
  <si>
    <t>-12.3809</t>
  </si>
  <si>
    <t>-14.3800</t>
  </si>
  <si>
    <t>-13.2377</t>
  </si>
  <si>
    <t>-15.7435</t>
  </si>
  <si>
    <t>-17.5067</t>
  </si>
  <si>
    <t>-16.6751</t>
  </si>
  <si>
    <t>-17.6644</t>
  </si>
  <si>
    <t>-17.7633</t>
  </si>
  <si>
    <t>-17.3169</t>
  </si>
  <si>
    <t>-17.6880</t>
  </si>
  <si>
    <t>-18.4464</t>
  </si>
  <si>
    <t>-18.6395</t>
  </si>
  <si>
    <t>-18.4198</t>
  </si>
  <si>
    <t>-17.9979</t>
  </si>
  <si>
    <t>-17.9814</t>
  </si>
  <si>
    <t>-18.1929</t>
  </si>
  <si>
    <t>-18.3824</t>
  </si>
  <si>
    <t>-17.9334</t>
  </si>
  <si>
    <t>-18.4029</t>
  </si>
  <si>
    <t>-17.3651</t>
  </si>
  <si>
    <t>-13.0714</t>
  </si>
  <si>
    <t>-18.7374</t>
  </si>
  <si>
    <t>-19.7261</t>
  </si>
  <si>
    <t>Comparacion con el caso B</t>
  </si>
  <si>
    <t> </t>
  </si>
  <si>
    <t>1,06</t>
  </si>
  <si>
    <t>145,2</t>
  </si>
  <si>
    <t>118,8</t>
  </si>
  <si>
    <t>139,92</t>
  </si>
  <si>
    <t>137,46</t>
  </si>
  <si>
    <t>-13,02</t>
  </si>
  <si>
    <t>-134,21</t>
  </si>
  <si>
    <t>22,78</t>
  </si>
  <si>
    <t>9,76</t>
  </si>
  <si>
    <t>137,94</t>
  </si>
  <si>
    <t>67,48</t>
  </si>
  <si>
    <t>6,55</t>
  </si>
  <si>
    <t>-65,64</t>
  </si>
  <si>
    <t>0,2</t>
  </si>
  <si>
    <t>6,76</t>
  </si>
  <si>
    <t>32,17</t>
  </si>
  <si>
    <t>6,53</t>
  </si>
  <si>
    <t>-31,61</t>
  </si>
  <si>
    <t>-4,82</t>
  </si>
  <si>
    <t>0,562</t>
  </si>
  <si>
    <t>1,71</t>
  </si>
  <si>
    <t>63,24</t>
  </si>
  <si>
    <t>1,19</t>
  </si>
  <si>
    <t>-62,73</t>
  </si>
  <si>
    <t>0,25</t>
  </si>
  <si>
    <t>0,501</t>
  </si>
  <si>
    <t>1,44</t>
  </si>
  <si>
    <t>1,01</t>
  </si>
  <si>
    <t>133,32</t>
  </si>
  <si>
    <t>75,29</t>
  </si>
  <si>
    <t>5,68</t>
  </si>
  <si>
    <t>-72,82</t>
  </si>
  <si>
    <t>4,67</t>
  </si>
  <si>
    <t>10,35</t>
  </si>
  <si>
    <t>45,05</t>
  </si>
  <si>
    <t>4,36</t>
  </si>
  <si>
    <t>-43,96</t>
  </si>
  <si>
    <t>-1,05</t>
  </si>
  <si>
    <t>1,09</t>
  </si>
  <si>
    <t>3,31</t>
  </si>
  <si>
    <t>55,97</t>
  </si>
  <si>
    <t>-9,12</t>
  </si>
  <si>
    <t>-55,6</t>
  </si>
  <si>
    <t>10,4</t>
  </si>
  <si>
    <t>0,369</t>
  </si>
  <si>
    <t>1,29</t>
  </si>
  <si>
    <t>-21,38</t>
  </si>
  <si>
    <t>12,9</t>
  </si>
  <si>
    <t>21,66</t>
  </si>
  <si>
    <t>-12,19</t>
  </si>
  <si>
    <t>0,281</t>
  </si>
  <si>
    <t>0,71</t>
  </si>
  <si>
    <t>1,1</t>
  </si>
  <si>
    <t>0,9</t>
  </si>
  <si>
    <t>44,98</t>
  </si>
  <si>
    <t>-1,57</t>
  </si>
  <si>
    <t>-44,46</t>
  </si>
  <si>
    <t>3,18</t>
  </si>
  <si>
    <t>0,525</t>
  </si>
  <si>
    <t>1,61</t>
  </si>
  <si>
    <t>36,3</t>
  </si>
  <si>
    <t>29,7</t>
  </si>
  <si>
    <t>5,42</t>
  </si>
  <si>
    <t>-25,92</t>
  </si>
  <si>
    <t>-5,14</t>
  </si>
  <si>
    <t>0,082</t>
  </si>
  <si>
    <t>0,29</t>
  </si>
  <si>
    <t>12,1</t>
  </si>
  <si>
    <t>9,9</t>
  </si>
  <si>
    <t>15,28</t>
  </si>
  <si>
    <t>-8,5</t>
  </si>
  <si>
    <t>-15,28</t>
  </si>
  <si>
    <t>9,09</t>
  </si>
  <si>
    <t>0,59</t>
  </si>
  <si>
    <t>8,75</t>
  </si>
  <si>
    <t>-0,46</t>
  </si>
  <si>
    <t>-8,75</t>
  </si>
  <si>
    <t>0,85</t>
  </si>
  <si>
    <t>0,39</t>
  </si>
  <si>
    <t>-13,4</t>
  </si>
  <si>
    <t>13,74</t>
  </si>
  <si>
    <t>0,34</t>
  </si>
  <si>
    <t>4,31</t>
  </si>
  <si>
    <t>-4,06</t>
  </si>
  <si>
    <t>30,77</t>
  </si>
  <si>
    <t>14,89</t>
  </si>
  <si>
    <t>-30,77</t>
  </si>
  <si>
    <t>-12,38</t>
  </si>
  <si>
    <t>2,51</t>
  </si>
  <si>
    <t>-8,6</t>
  </si>
  <si>
    <t>8,69</t>
  </si>
  <si>
    <t>0,09</t>
  </si>
  <si>
    <t>5,78</t>
  </si>
  <si>
    <t>2,81</t>
  </si>
  <si>
    <t>-5,73</t>
  </si>
  <si>
    <t>-2,72</t>
  </si>
  <si>
    <t>0,045</t>
  </si>
  <si>
    <t>9,59</t>
  </si>
  <si>
    <t>7,01</t>
  </si>
  <si>
    <t>-9,51</t>
  </si>
  <si>
    <t>-6,84</t>
  </si>
  <si>
    <t>0,083</t>
  </si>
  <si>
    <t>0,16</t>
  </si>
  <si>
    <t>4,2</t>
  </si>
  <si>
    <t>3,66</t>
  </si>
  <si>
    <t>-4,18</t>
  </si>
  <si>
    <t>-3,61</t>
  </si>
  <si>
    <t>0,026</t>
  </si>
  <si>
    <t>0,05</t>
  </si>
  <si>
    <t>-0,47</t>
  </si>
  <si>
    <t>1,12</t>
  </si>
  <si>
    <t>0,47</t>
  </si>
  <si>
    <t>-1,11</t>
  </si>
  <si>
    <t>0,003</t>
  </si>
  <si>
    <t>0,68</t>
  </si>
  <si>
    <t>1,81</t>
  </si>
  <si>
    <t>-0,68</t>
  </si>
  <si>
    <t>-1,8</t>
  </si>
  <si>
    <t>0,002</t>
  </si>
  <si>
    <t>0,01</t>
  </si>
  <si>
    <t>1,14</t>
  </si>
  <si>
    <t>1,98</t>
  </si>
  <si>
    <t>-1,14</t>
  </si>
  <si>
    <t>-1,97</t>
  </si>
  <si>
    <t>0,005</t>
  </si>
  <si>
    <t>-2,06</t>
  </si>
  <si>
    <t>1,07</t>
  </si>
  <si>
    <t>2,07</t>
  </si>
  <si>
    <t>-1,06</t>
  </si>
  <si>
    <t>-2,34</t>
  </si>
  <si>
    <t>1,57</t>
  </si>
  <si>
    <t>2,34</t>
  </si>
  <si>
    <t>3,79</t>
  </si>
  <si>
    <t>3,09</t>
  </si>
  <si>
    <t>-3,77</t>
  </si>
  <si>
    <t>-3,04</t>
  </si>
  <si>
    <t>0,02</t>
  </si>
  <si>
    <t>8,35</t>
  </si>
  <si>
    <t>4,07</t>
  </si>
  <si>
    <t>-8,32</t>
  </si>
  <si>
    <t>0,025</t>
  </si>
  <si>
    <t>0,07</t>
  </si>
  <si>
    <t>4,35</t>
  </si>
  <si>
    <t>10,2</t>
  </si>
  <si>
    <t>-4,31</t>
  </si>
  <si>
    <t>-10,12</t>
  </si>
  <si>
    <t>0,039</t>
  </si>
  <si>
    <t>0,08</t>
  </si>
  <si>
    <t>1,74</t>
  </si>
  <si>
    <t>4,85</t>
  </si>
  <si>
    <t>-1,72</t>
  </si>
  <si>
    <t>-4,81</t>
  </si>
  <si>
    <t>0,017</t>
  </si>
  <si>
    <t>0,04</t>
  </si>
  <si>
    <t>-3,19</t>
  </si>
  <si>
    <t>-1,08</t>
  </si>
  <si>
    <t>3,19</t>
  </si>
  <si>
    <t>1,08</t>
  </si>
  <si>
    <t>0,001</t>
  </si>
  <si>
    <t>-0,3</t>
  </si>
  <si>
    <t>3,48</t>
  </si>
  <si>
    <t>0,31</t>
  </si>
  <si>
    <t>-3,45</t>
  </si>
  <si>
    <t>0,011</t>
  </si>
  <si>
    <t>-1,47</t>
  </si>
  <si>
    <t>3,73</t>
  </si>
  <si>
    <t>1,49</t>
  </si>
  <si>
    <t>-3,7</t>
  </si>
  <si>
    <t>0,03</t>
  </si>
  <si>
    <t>-3,51</t>
  </si>
  <si>
    <t>1,85</t>
  </si>
  <si>
    <t>3,53</t>
  </si>
  <si>
    <t>-1,81</t>
  </si>
  <si>
    <t>0,019</t>
  </si>
  <si>
    <t>-3,72</t>
  </si>
  <si>
    <t>3,45</t>
  </si>
  <si>
    <t>3,77</t>
  </si>
  <si>
    <t>-3,38</t>
  </si>
  <si>
    <t>3,54</t>
  </si>
  <si>
    <t>2,36</t>
  </si>
  <si>
    <t>-3,5</t>
  </si>
  <si>
    <t>-2,3</t>
  </si>
  <si>
    <t>0,043</t>
  </si>
  <si>
    <t>0,06</t>
  </si>
  <si>
    <t>-7,31</t>
  </si>
  <si>
    <t>7,36</t>
  </si>
  <si>
    <t>-0,91</t>
  </si>
  <si>
    <t>0,056</t>
  </si>
  <si>
    <t>0,11</t>
  </si>
  <si>
    <t>0,45</t>
  </si>
  <si>
    <t>2,08</t>
  </si>
  <si>
    <t>-0,45</t>
  </si>
  <si>
    <t>-5,16</t>
  </si>
  <si>
    <t>1,54</t>
  </si>
  <si>
    <t>5,22</t>
  </si>
  <si>
    <t>-1,43</t>
  </si>
  <si>
    <t>0,059</t>
  </si>
  <si>
    <t>-1,76</t>
  </si>
  <si>
    <t>1,42</t>
  </si>
  <si>
    <t>1,77</t>
  </si>
  <si>
    <t>-1,39</t>
  </si>
  <si>
    <t>0,015</t>
  </si>
  <si>
    <t>2,38</t>
  </si>
  <si>
    <t>0,53</t>
  </si>
  <si>
    <t>-2,37</t>
  </si>
  <si>
    <t>-0,51</t>
  </si>
  <si>
    <t>0,013</t>
  </si>
  <si>
    <t>-4,08</t>
  </si>
  <si>
    <t>-0,92</t>
  </si>
  <si>
    <t>4,09</t>
  </si>
  <si>
    <t>0,95</t>
  </si>
  <si>
    <t>4,55</t>
  </si>
  <si>
    <t>0,17</t>
  </si>
  <si>
    <t>-4,54</t>
  </si>
  <si>
    <t>-0,16</t>
  </si>
  <si>
    <t>kV_from</t>
  </si>
  <si>
    <t>kV_to</t>
  </si>
  <si>
    <t>transformador</t>
  </si>
  <si>
    <t>y_series</t>
  </si>
  <si>
    <t>V_from (pu)</t>
  </si>
  <si>
    <t>I_from (pu)</t>
  </si>
  <si>
    <t>S_from (MVA)</t>
  </si>
  <si>
    <t>S_to (MVA)</t>
  </si>
  <si>
    <t>S_max</t>
  </si>
  <si>
    <t>Rating (MVA)</t>
  </si>
  <si>
    <t>Estado</t>
  </si>
  <si>
    <t>(-5.224646179885656+15.646726840803398j)</t>
  </si>
  <si>
    <t>(-1.540869868766976+5.631674830039524j)</t>
  </si>
  <si>
    <t>(-1.705530316699028+5.197379228256508j)</t>
  </si>
  <si>
    <t>(-8.195449043211111+23.5308726290268j)</t>
  </si>
  <si>
    <t>(-2.822105668939347+9.888956823548371j)</t>
  </si>
  <si>
    <t>(-9.367143765473468+28.754171281772834j)</t>
  </si>
  <si>
    <t>(-9.87951860008162+33.03869302708034j)</t>
  </si>
  <si>
    <t>4.915840805411357j</t>
  </si>
  <si>
    <t>1.8561002591115963j</t>
  </si>
  <si>
    <t>4.8076923076923075j</t>
  </si>
  <si>
    <t>9.090909090909092j</t>
  </si>
  <si>
    <t>4.191255364806864j</t>
  </si>
  <si>
    <t>7.142857142857142j</t>
  </si>
  <si>
    <t>(-3.4785654011197265+7.277784644059039j)</t>
  </si>
  <si>
    <t>(-5.586348446650072+8.34814991835627j)</t>
  </si>
  <si>
    <t>(-1.3190669363537615+4.8407742721532125j)</t>
  </si>
  <si>
    <t>(-1.8108011504072024+3.687148931630962j)</t>
  </si>
  <si>
    <t>(-3.0756864340087167+6.21875879278971j)</t>
  </si>
  <si>
    <t>(-5.88235294117647+11.76470588235294j)</t>
  </si>
  <si>
    <t>(-1.784803015266603+3.98535828943083j)</t>
  </si>
  <si>
    <t>(-3.956039125715353+10.31744771984405j)</t>
  </si>
  <si>
    <t>(-5.101853820159654+10.98477157360406j)</t>
  </si>
  <si>
    <t>(-2.6193155533825974+5.4007703033294545j)</t>
  </si>
  <si>
    <t>(-16.774614369736234+34.127718648773715j)</t>
  </si>
  <si>
    <t>(-1.968348948091687+3.976068276813715j)</t>
  </si>
  <si>
    <t>(-2.5405381522555652+3.95440286307306j)</t>
  </si>
  <si>
    <t>(-1.64140560626431+2.988923874053429j)</t>
  </si>
  <si>
    <t>(-1.3098929438742493+2.28762205370505j)</t>
  </si>
  <si>
    <t>(-1.2165301194494857+1.8711440643475021j)</t>
  </si>
  <si>
    <t>(-1.9692920169892516+3.760212661917066j)</t>
  </si>
  <si>
    <t>2.60871347574923j</t>
  </si>
  <si>
    <t>(-0.995535509526799+1.881005840357816j)</t>
  </si>
  <si>
    <t>(-0.6874559028276527+1.293974497497717j)</t>
  </si>
  <si>
    <t>(-1.4439790613954695+4.540814658478264j)</t>
  </si>
  <si>
    <t>(-4.362844058012917+15.463571542897856j)</t>
  </si>
  <si>
    <t>Current</t>
  </si>
  <si>
    <t>Voltage caso base</t>
  </si>
  <si>
    <t>Generador</t>
  </si>
  <si>
    <t>CASO A</t>
  </si>
  <si>
    <t>CASO B</t>
  </si>
  <si>
    <t>CASO C</t>
  </si>
  <si>
    <t>P asignada  (p.u)</t>
  </si>
  <si>
    <t>0,378</t>
  </si>
  <si>
    <t>0,415</t>
  </si>
  <si>
    <t>0,31098</t>
  </si>
  <si>
    <t>0,50</t>
  </si>
  <si>
    <t>Costo ($/h)</t>
  </si>
  <si>
    <t>7.231,634</t>
  </si>
  <si>
    <t>8.209,869</t>
  </si>
  <si>
    <t>1.111,647</t>
  </si>
  <si>
    <t>1.262,021</t>
  </si>
  <si>
    <t>1.750,00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</si>
</sst>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#,##0.0000"/>
    <numFmt numFmtId="167" formatCode="0.000"/>
  </numFmts>
  <fonts count="12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9"/>
      <color theme="1"/>
      <name val="Arial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rgb="FF1F1F1F"/>
      <name val="Courier New"/>
      <family val="3"/>
    </font>
    <font>
      <sz val="12"/>
      <color rgb="FF0D0D0D"/>
      <name val="Times New Roman"/>
      <family val="1"/>
    </font>
    <font>
      <sz val="11"/>
      <color rgb="FF000000"/>
      <name val="Aptos Narrow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0"/>
      <color rgb="FF000000"/>
      <name val="Arial Unicode MS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/>
    <xf numFmtId="10" fontId="0" fillId="0" borderId="0" xfId="0" applyNumberFormat="1"/>
    <xf numFmtId="0" fontId="0" fillId="0" borderId="3" xfId="0" applyBorder="1"/>
    <xf numFmtId="0" fontId="0" fillId="0" borderId="14" xfId="0" applyBorder="1"/>
    <xf numFmtId="0" fontId="0" fillId="0" borderId="6" xfId="0" applyBorder="1"/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9" fontId="0" fillId="0" borderId="0" xfId="1" applyFont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24" xfId="0" applyBorder="1"/>
    <xf numFmtId="0" fontId="3" fillId="0" borderId="25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0" fillId="0" borderId="28" xfId="0" applyBorder="1"/>
    <xf numFmtId="0" fontId="0" fillId="0" borderId="19" xfId="0" applyBorder="1"/>
    <xf numFmtId="0" fontId="0" fillId="0" borderId="21" xfId="0" applyBorder="1"/>
    <xf numFmtId="0" fontId="0" fillId="0" borderId="29" xfId="0" applyBorder="1"/>
    <xf numFmtId="0" fontId="5" fillId="0" borderId="0" xfId="0" applyFont="1"/>
    <xf numFmtId="10" fontId="0" fillId="0" borderId="1" xfId="0" applyNumberFormat="1" applyBorder="1"/>
    <xf numFmtId="0" fontId="6" fillId="0" borderId="1" xfId="0" applyFont="1" applyBorder="1" applyAlignment="1">
      <alignment horizontal="left" vertical="center" indent="1"/>
    </xf>
    <xf numFmtId="167" fontId="0" fillId="0" borderId="1" xfId="0" applyNumberFormat="1" applyBorder="1"/>
    <xf numFmtId="167" fontId="0" fillId="0" borderId="24" xfId="0" applyNumberFormat="1" applyBorder="1"/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167" fontId="0" fillId="0" borderId="30" xfId="0" applyNumberFormat="1" applyBorder="1"/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67" fontId="0" fillId="0" borderId="29" xfId="0" applyNumberFormat="1" applyBorder="1"/>
    <xf numFmtId="167" fontId="0" fillId="0" borderId="31" xfId="0" applyNumberFormat="1" applyBorder="1"/>
    <xf numFmtId="167" fontId="0" fillId="0" borderId="32" xfId="0" applyNumberFormat="1" applyBorder="1"/>
    <xf numFmtId="167" fontId="0" fillId="0" borderId="33" xfId="0" applyNumberFormat="1" applyBorder="1"/>
    <xf numFmtId="167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7" fillId="0" borderId="4" xfId="0" applyFont="1" applyBorder="1"/>
    <xf numFmtId="0" fontId="7" fillId="0" borderId="12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13" xfId="0" applyFont="1" applyBorder="1"/>
    <xf numFmtId="0" fontId="7" fillId="0" borderId="8" xfId="0" applyFont="1" applyBorder="1"/>
    <xf numFmtId="0" fontId="7" fillId="0" borderId="15" xfId="0" applyFont="1" applyBorder="1"/>
    <xf numFmtId="0" fontId="7" fillId="0" borderId="3" xfId="0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" xfId="0" applyFont="1" applyBorder="1"/>
    <xf numFmtId="0" fontId="8" fillId="0" borderId="34" xfId="0" applyFont="1" applyBorder="1"/>
    <xf numFmtId="0" fontId="8" fillId="0" borderId="24" xfId="0" applyFont="1" applyBorder="1"/>
    <xf numFmtId="0" fontId="8" fillId="0" borderId="35" xfId="0" applyFont="1" applyBorder="1"/>
    <xf numFmtId="0" fontId="9" fillId="0" borderId="26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7" fillId="0" borderId="1" xfId="0" applyFont="1" applyBorder="1"/>
    <xf numFmtId="0" fontId="7" fillId="0" borderId="34" xfId="0" applyFont="1" applyBorder="1"/>
    <xf numFmtId="0" fontId="7" fillId="0" borderId="24" xfId="0" applyFont="1" applyBorder="1"/>
    <xf numFmtId="0" fontId="7" fillId="0" borderId="35" xfId="0" applyFont="1" applyBorder="1"/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6" xfId="0" applyBorder="1"/>
    <xf numFmtId="167" fontId="0" fillId="0" borderId="0" xfId="0" applyNumberFormat="1"/>
    <xf numFmtId="0" fontId="8" fillId="0" borderId="14" xfId="0" applyFont="1" applyBorder="1"/>
    <xf numFmtId="0" fontId="8" fillId="0" borderId="15" xfId="0" applyFont="1" applyBorder="1"/>
    <xf numFmtId="0" fontId="8" fillId="0" borderId="15" xfId="0" quotePrefix="1" applyFont="1" applyBorder="1"/>
    <xf numFmtId="0" fontId="8" fillId="0" borderId="6" xfId="0" applyFont="1" applyBorder="1"/>
    <xf numFmtId="0" fontId="8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11" fontId="8" fillId="0" borderId="1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quotePrefix="1" applyFont="1" applyBorder="1" applyAlignment="1">
      <alignment horizontal="center"/>
    </xf>
    <xf numFmtId="9" fontId="8" fillId="0" borderId="14" xfId="0" applyNumberFormat="1" applyFont="1" applyBorder="1"/>
    <xf numFmtId="9" fontId="8" fillId="0" borderId="15" xfId="0" applyNumberFormat="1" applyFont="1" applyBorder="1"/>
    <xf numFmtId="9" fontId="8" fillId="0" borderId="6" xfId="0" applyNumberFormat="1" applyFont="1" applyBorder="1"/>
    <xf numFmtId="9" fontId="8" fillId="0" borderId="8" xfId="0" applyNumberFormat="1" applyFont="1" applyBorder="1"/>
    <xf numFmtId="0" fontId="8" fillId="0" borderId="23" xfId="0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9" fontId="8" fillId="0" borderId="15" xfId="0" applyNumberFormat="1" applyFont="1" applyBorder="1" applyAlignment="1">
      <alignment horizontal="center"/>
    </xf>
    <xf numFmtId="9" fontId="8" fillId="0" borderId="6" xfId="0" applyNumberFormat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0" fontId="8" fillId="0" borderId="0" xfId="0" applyFont="1"/>
    <xf numFmtId="0" fontId="8" fillId="0" borderId="16" xfId="0" applyFont="1" applyBorder="1"/>
    <xf numFmtId="0" fontId="10" fillId="0" borderId="0" xfId="0" applyFont="1"/>
    <xf numFmtId="0" fontId="10" fillId="0" borderId="7" xfId="0" applyFont="1" applyBorder="1"/>
    <xf numFmtId="0" fontId="8" fillId="0" borderId="7" xfId="0" applyFont="1" applyBorder="1"/>
    <xf numFmtId="0" fontId="8" fillId="0" borderId="13" xfId="0" applyFont="1" applyBorder="1"/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9" fillId="0" borderId="25" xfId="0" applyFont="1" applyBorder="1"/>
    <xf numFmtId="0" fontId="9" fillId="0" borderId="42" xfId="0" applyFont="1" applyBorder="1"/>
    <xf numFmtId="0" fontId="9" fillId="0" borderId="4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7" fillId="0" borderId="0" xfId="0" applyFont="1"/>
    <xf numFmtId="0" fontId="7" fillId="0" borderId="0" xfId="0" quotePrefix="1" applyFont="1"/>
    <xf numFmtId="3" fontId="7" fillId="0" borderId="0" xfId="0" applyNumberFormat="1" applyFont="1"/>
    <xf numFmtId="3" fontId="8" fillId="0" borderId="0" xfId="0" applyNumberFormat="1" applyFont="1"/>
    <xf numFmtId="0" fontId="8" fillId="0" borderId="0" xfId="0" quotePrefix="1" applyFont="1"/>
    <xf numFmtId="3" fontId="8" fillId="0" borderId="15" xfId="0" applyNumberFormat="1" applyFont="1" applyBorder="1"/>
    <xf numFmtId="3" fontId="8" fillId="0" borderId="7" xfId="0" applyNumberFormat="1" applyFont="1" applyBorder="1"/>
    <xf numFmtId="0" fontId="8" fillId="0" borderId="7" xfId="0" quotePrefix="1" applyFont="1" applyBorder="1"/>
    <xf numFmtId="3" fontId="8" fillId="0" borderId="8" xfId="0" applyNumberFormat="1" applyFont="1" applyBorder="1"/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8" fillId="0" borderId="7" xfId="0" applyNumberFormat="1" applyFont="1" applyBorder="1" applyAlignment="1">
      <alignment horizont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37" xfId="0" applyFont="1" applyBorder="1" applyAlignment="1"/>
    <xf numFmtId="0" fontId="8" fillId="0" borderId="3" xfId="0" applyFont="1" applyBorder="1" applyAlignment="1"/>
    <xf numFmtId="0" fontId="8" fillId="0" borderId="38" xfId="0" applyFont="1" applyBorder="1" applyAlignment="1"/>
    <xf numFmtId="0" fontId="8" fillId="0" borderId="39" xfId="0" applyFont="1" applyBorder="1" applyAlignment="1"/>
    <xf numFmtId="0" fontId="8" fillId="0" borderId="40" xfId="0" applyFont="1" applyBorder="1" applyAlignment="1"/>
    <xf numFmtId="0" fontId="8" fillId="0" borderId="16" xfId="0" applyFont="1" applyBorder="1" applyAlignment="1"/>
    <xf numFmtId="0" fontId="8" fillId="0" borderId="41" xfId="0" applyFont="1" applyBorder="1" applyAlignment="1"/>
    <xf numFmtId="0" fontId="7" fillId="0" borderId="12" xfId="0" applyFont="1" applyBorder="1" applyAlignment="1"/>
    <xf numFmtId="0" fontId="7" fillId="0" borderId="16" xfId="0" applyFont="1" applyBorder="1" applyAlignment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POTENCIA</a:t>
            </a:r>
            <a:r>
              <a:rPr lang="es-CO" baseline="0"/>
              <a:t> DE NODOS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POTENCIA ACTIVA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Hoja2!$C$4:$C$33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Hoja2!$K$4:$K$33</c:f>
              <c:numCache>
                <c:formatCode>General</c:formatCode>
                <c:ptCount val="30"/>
                <c:pt idx="0">
                  <c:v>260.2</c:v>
                </c:pt>
                <c:pt idx="1">
                  <c:v>18.3</c:v>
                </c:pt>
                <c:pt idx="2">
                  <c:v>-2.4</c:v>
                </c:pt>
                <c:pt idx="3">
                  <c:v>-7.6</c:v>
                </c:pt>
                <c:pt idx="4">
                  <c:v>-94.2</c:v>
                </c:pt>
                <c:pt idx="5">
                  <c:v>0</c:v>
                </c:pt>
                <c:pt idx="6">
                  <c:v>-22.8</c:v>
                </c:pt>
                <c:pt idx="7">
                  <c:v>-30</c:v>
                </c:pt>
                <c:pt idx="8">
                  <c:v>0</c:v>
                </c:pt>
                <c:pt idx="9">
                  <c:v>-5.8</c:v>
                </c:pt>
                <c:pt idx="10">
                  <c:v>0</c:v>
                </c:pt>
                <c:pt idx="11">
                  <c:v>-11.2</c:v>
                </c:pt>
                <c:pt idx="12">
                  <c:v>0</c:v>
                </c:pt>
                <c:pt idx="13">
                  <c:v>-6.2</c:v>
                </c:pt>
                <c:pt idx="14">
                  <c:v>-8.1999999999999993</c:v>
                </c:pt>
                <c:pt idx="15">
                  <c:v>-3.5</c:v>
                </c:pt>
                <c:pt idx="16">
                  <c:v>-9</c:v>
                </c:pt>
                <c:pt idx="17">
                  <c:v>-3.2</c:v>
                </c:pt>
                <c:pt idx="18">
                  <c:v>-9.5</c:v>
                </c:pt>
                <c:pt idx="19">
                  <c:v>-2.2000000000000002</c:v>
                </c:pt>
                <c:pt idx="20">
                  <c:v>-17.5</c:v>
                </c:pt>
                <c:pt idx="21">
                  <c:v>0</c:v>
                </c:pt>
                <c:pt idx="22">
                  <c:v>-3.2</c:v>
                </c:pt>
                <c:pt idx="23">
                  <c:v>-8.6999999999999993</c:v>
                </c:pt>
                <c:pt idx="24">
                  <c:v>0</c:v>
                </c:pt>
                <c:pt idx="25">
                  <c:v>-3.5</c:v>
                </c:pt>
                <c:pt idx="26">
                  <c:v>0</c:v>
                </c:pt>
                <c:pt idx="27">
                  <c:v>0</c:v>
                </c:pt>
                <c:pt idx="28">
                  <c:v>-2.4</c:v>
                </c:pt>
                <c:pt idx="29">
                  <c:v>-10.6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4D-4158-AC27-5F9CD60E7053}"/>
            </c:ext>
          </c:extLst>
        </c:ser>
        <c:ser>
          <c:idx val="1"/>
          <c:order val="1"/>
          <c:tx>
            <c:v>POTENCIA REACTIVA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Hoja2!$C$4:$C$33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Hoja2!$L$4:$L$33</c:f>
              <c:numCache>
                <c:formatCode>General</c:formatCode>
                <c:ptCount val="30"/>
                <c:pt idx="0">
                  <c:v>-20.417999999999999</c:v>
                </c:pt>
                <c:pt idx="1">
                  <c:v>43.369</c:v>
                </c:pt>
                <c:pt idx="2">
                  <c:v>-1.2</c:v>
                </c:pt>
                <c:pt idx="3">
                  <c:v>-1.6</c:v>
                </c:pt>
                <c:pt idx="4">
                  <c:v>16.658999999999999</c:v>
                </c:pt>
                <c:pt idx="5">
                  <c:v>0</c:v>
                </c:pt>
                <c:pt idx="6">
                  <c:v>-10.9</c:v>
                </c:pt>
                <c:pt idx="7">
                  <c:v>6.1109999999999971</c:v>
                </c:pt>
                <c:pt idx="8">
                  <c:v>0</c:v>
                </c:pt>
                <c:pt idx="9">
                  <c:v>-2</c:v>
                </c:pt>
                <c:pt idx="10">
                  <c:v>16.056999999999999</c:v>
                </c:pt>
                <c:pt idx="11">
                  <c:v>-7.5</c:v>
                </c:pt>
                <c:pt idx="12">
                  <c:v>10.451000000000001</c:v>
                </c:pt>
                <c:pt idx="13">
                  <c:v>-1.6</c:v>
                </c:pt>
                <c:pt idx="14">
                  <c:v>-2.5</c:v>
                </c:pt>
                <c:pt idx="15">
                  <c:v>-1.8</c:v>
                </c:pt>
                <c:pt idx="16">
                  <c:v>-5.8</c:v>
                </c:pt>
                <c:pt idx="17">
                  <c:v>-0.9</c:v>
                </c:pt>
                <c:pt idx="18">
                  <c:v>-3.4</c:v>
                </c:pt>
                <c:pt idx="19">
                  <c:v>-0.7</c:v>
                </c:pt>
                <c:pt idx="20">
                  <c:v>-11.2</c:v>
                </c:pt>
                <c:pt idx="21">
                  <c:v>0</c:v>
                </c:pt>
                <c:pt idx="22">
                  <c:v>-1.6</c:v>
                </c:pt>
                <c:pt idx="23">
                  <c:v>-6.7</c:v>
                </c:pt>
                <c:pt idx="24">
                  <c:v>0</c:v>
                </c:pt>
                <c:pt idx="25">
                  <c:v>-2.2999999999999998</c:v>
                </c:pt>
                <c:pt idx="26">
                  <c:v>0</c:v>
                </c:pt>
                <c:pt idx="27">
                  <c:v>0</c:v>
                </c:pt>
                <c:pt idx="28">
                  <c:v>-0.9</c:v>
                </c:pt>
                <c:pt idx="29">
                  <c:v>-1.9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4D-4158-AC27-5F9CD60E7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713663"/>
        <c:axId val="1771714495"/>
      </c:scatterChart>
      <c:valAx>
        <c:axId val="177171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1714495"/>
        <c:crosses val="autoZero"/>
        <c:crossBetween val="midCat"/>
      </c:valAx>
      <c:valAx>
        <c:axId val="17717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MW</a:t>
                </a:r>
                <a:r>
                  <a:rPr lang="es-CO" baseline="0"/>
                  <a:t>  /  MVA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1713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POTENCIA</a:t>
            </a:r>
            <a:r>
              <a:rPr lang="es-CO" baseline="0"/>
              <a:t> (P) Y (Q) DE LINEA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Hoja2!$Q$3:$Q$43</c:f>
              <c:strCache>
                <c:ptCount val="41"/>
                <c:pt idx="0">
                  <c:v>1–2:</c:v>
                </c:pt>
                <c:pt idx="1">
                  <c:v>1–3:</c:v>
                </c:pt>
                <c:pt idx="2">
                  <c:v>2–5:</c:v>
                </c:pt>
                <c:pt idx="3">
                  <c:v>2–6:</c:v>
                </c:pt>
                <c:pt idx="4">
                  <c:v>2–4:</c:v>
                </c:pt>
                <c:pt idx="5">
                  <c:v>3–4:</c:v>
                </c:pt>
                <c:pt idx="6">
                  <c:v>4–6:</c:v>
                </c:pt>
                <c:pt idx="7">
                  <c:v>6–7:</c:v>
                </c:pt>
                <c:pt idx="8">
                  <c:v>12–15:</c:v>
                </c:pt>
                <c:pt idx="9">
                  <c:v>5–7:</c:v>
                </c:pt>
                <c:pt idx="10">
                  <c:v>27–30:</c:v>
                </c:pt>
                <c:pt idx="11">
                  <c:v>10–21:</c:v>
                </c:pt>
                <c:pt idx="12">
                  <c:v>6–8:</c:v>
                </c:pt>
                <c:pt idx="13">
                  <c:v>27–29:</c:v>
                </c:pt>
                <c:pt idx="14">
                  <c:v>9-10:</c:v>
                </c:pt>
                <c:pt idx="15">
                  <c:v>12-14:</c:v>
                </c:pt>
                <c:pt idx="16">
                  <c:v>10–20:</c:v>
                </c:pt>
                <c:pt idx="17">
                  <c:v>15-18:</c:v>
                </c:pt>
                <c:pt idx="18">
                  <c:v>25–26:</c:v>
                </c:pt>
                <c:pt idx="19">
                  <c:v>22–24:</c:v>
                </c:pt>
                <c:pt idx="20">
                  <c:v>29–30:</c:v>
                </c:pt>
                <c:pt idx="21">
                  <c:v>15–23:</c:v>
                </c:pt>
                <c:pt idx="22">
                  <c:v>25–27:</c:v>
                </c:pt>
                <c:pt idx="23">
                  <c:v>10–22:</c:v>
                </c:pt>
                <c:pt idx="24">
                  <c:v>12–16:</c:v>
                </c:pt>
                <c:pt idx="25">
                  <c:v>24–25:</c:v>
                </c:pt>
                <c:pt idx="26">
                  <c:v>16–17:</c:v>
                </c:pt>
                <c:pt idx="27">
                  <c:v>14–15:</c:v>
                </c:pt>
                <c:pt idx="28">
                  <c:v>23–24:</c:v>
                </c:pt>
                <c:pt idx="29">
                  <c:v>18–19:</c:v>
                </c:pt>
                <c:pt idx="30">
                  <c:v>8–28:</c:v>
                </c:pt>
                <c:pt idx="31">
                  <c:v>21–22:</c:v>
                </c:pt>
                <c:pt idx="32">
                  <c:v>6–9:</c:v>
                </c:pt>
                <c:pt idx="33">
                  <c:v>6–10:</c:v>
                </c:pt>
                <c:pt idx="34">
                  <c:v>9–11:</c:v>
                </c:pt>
                <c:pt idx="35">
                  <c:v>6-28:</c:v>
                </c:pt>
                <c:pt idx="36">
                  <c:v>4–12:</c:v>
                </c:pt>
                <c:pt idx="37">
                  <c:v>12–13:</c:v>
                </c:pt>
                <c:pt idx="38">
                  <c:v>28–27:</c:v>
                </c:pt>
                <c:pt idx="39">
                  <c:v>10–17:</c:v>
                </c:pt>
                <c:pt idx="40">
                  <c:v>19–20:</c:v>
                </c:pt>
              </c:strCache>
            </c:strRef>
          </c:cat>
          <c:val>
            <c:numRef>
              <c:f>Hoja2!$R$3:$R$43</c:f>
              <c:numCache>
                <c:formatCode>General</c:formatCode>
                <c:ptCount val="41"/>
                <c:pt idx="0">
                  <c:v>5.2130000000000001</c:v>
                </c:pt>
                <c:pt idx="1">
                  <c:v>3.1080000000000001</c:v>
                </c:pt>
                <c:pt idx="2">
                  <c:v>2.9430000000000001</c:v>
                </c:pt>
                <c:pt idx="3">
                  <c:v>1.946</c:v>
                </c:pt>
                <c:pt idx="4">
                  <c:v>1.018</c:v>
                </c:pt>
                <c:pt idx="5">
                  <c:v>0.85599999999999998</c:v>
                </c:pt>
                <c:pt idx="6">
                  <c:v>0.63200000000000001</c:v>
                </c:pt>
                <c:pt idx="7">
                  <c:v>0.38100000000000001</c:v>
                </c:pt>
                <c:pt idx="8">
                  <c:v>0.217</c:v>
                </c:pt>
                <c:pt idx="9">
                  <c:v>0.16900000000000001</c:v>
                </c:pt>
                <c:pt idx="10">
                  <c:v>0.16200000000000001</c:v>
                </c:pt>
                <c:pt idx="11">
                  <c:v>0.111</c:v>
                </c:pt>
                <c:pt idx="12">
                  <c:v>0.108</c:v>
                </c:pt>
                <c:pt idx="13">
                  <c:v>8.5999999999999993E-2</c:v>
                </c:pt>
                <c:pt idx="14">
                  <c:v>0</c:v>
                </c:pt>
                <c:pt idx="15">
                  <c:v>0.16200000000000001</c:v>
                </c:pt>
                <c:pt idx="16">
                  <c:v>8.2000000000000003E-2</c:v>
                </c:pt>
                <c:pt idx="17">
                  <c:v>8.5999999999999993E-2</c:v>
                </c:pt>
                <c:pt idx="18">
                  <c:v>4.4999999999999998E-2</c:v>
                </c:pt>
                <c:pt idx="19">
                  <c:v>4.5999999999999999E-2</c:v>
                </c:pt>
                <c:pt idx="20">
                  <c:v>3.4000000000000002E-2</c:v>
                </c:pt>
                <c:pt idx="21">
                  <c:v>3.1E-2</c:v>
                </c:pt>
                <c:pt idx="22">
                  <c:v>2.4E-2</c:v>
                </c:pt>
                <c:pt idx="23">
                  <c:v>5.2999999999999999E-2</c:v>
                </c:pt>
                <c:pt idx="24">
                  <c:v>5.3999999999999999E-2</c:v>
                </c:pt>
                <c:pt idx="25">
                  <c:v>0.01</c:v>
                </c:pt>
                <c:pt idx="26">
                  <c:v>8.0000000000000002E-3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5.0000000000000001E-3</c:v>
                </c:pt>
                <c:pt idx="30">
                  <c:v>2E-3</c:v>
                </c:pt>
                <c:pt idx="31">
                  <c:v>1E-3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1.4E-2</c:v>
                </c:pt>
                <c:pt idx="40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4E6C-AE61-70F8A8B17325}"/>
            </c:ext>
          </c:extLst>
        </c:ser>
        <c:ser>
          <c:idx val="1"/>
          <c:order val="1"/>
          <c:tx>
            <c:v>Q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Hoja2!$T$3:$T$43</c:f>
              <c:numCache>
                <c:formatCode>General</c:formatCode>
                <c:ptCount val="41"/>
                <c:pt idx="0">
                  <c:v>15.61</c:v>
                </c:pt>
                <c:pt idx="1">
                  <c:v>11.36</c:v>
                </c:pt>
                <c:pt idx="2">
                  <c:v>12.36</c:v>
                </c:pt>
                <c:pt idx="3">
                  <c:v>5.9</c:v>
                </c:pt>
                <c:pt idx="4">
                  <c:v>3.1</c:v>
                </c:pt>
                <c:pt idx="5">
                  <c:v>2.46</c:v>
                </c:pt>
                <c:pt idx="6">
                  <c:v>2.2000000000000002</c:v>
                </c:pt>
                <c:pt idx="7">
                  <c:v>1.17</c:v>
                </c:pt>
                <c:pt idx="8">
                  <c:v>0.43</c:v>
                </c:pt>
                <c:pt idx="9">
                  <c:v>0.43</c:v>
                </c:pt>
                <c:pt idx="10">
                  <c:v>0.31</c:v>
                </c:pt>
                <c:pt idx="11">
                  <c:v>0.24</c:v>
                </c:pt>
                <c:pt idx="12">
                  <c:v>0.38</c:v>
                </c:pt>
                <c:pt idx="13">
                  <c:v>0.16</c:v>
                </c:pt>
                <c:pt idx="14">
                  <c:v>4.6900000000000004</c:v>
                </c:pt>
                <c:pt idx="15">
                  <c:v>0.31</c:v>
                </c:pt>
                <c:pt idx="16">
                  <c:v>0.18</c:v>
                </c:pt>
                <c:pt idx="17">
                  <c:v>0.16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0.05</c:v>
                </c:pt>
                <c:pt idx="23">
                  <c:v>0.11</c:v>
                </c:pt>
                <c:pt idx="24">
                  <c:v>0.11</c:v>
                </c:pt>
                <c:pt idx="25">
                  <c:v>0.02</c:v>
                </c:pt>
                <c:pt idx="26">
                  <c:v>0.03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</c:v>
                </c:pt>
                <c:pt idx="32">
                  <c:v>1.62</c:v>
                </c:pt>
                <c:pt idx="33">
                  <c:v>1.28</c:v>
                </c:pt>
                <c:pt idx="34">
                  <c:v>0.46</c:v>
                </c:pt>
                <c:pt idx="35">
                  <c:v>0.8</c:v>
                </c:pt>
                <c:pt idx="36">
                  <c:v>4.6900000000000004</c:v>
                </c:pt>
                <c:pt idx="37">
                  <c:v>0.13</c:v>
                </c:pt>
                <c:pt idx="38">
                  <c:v>1.29</c:v>
                </c:pt>
                <c:pt idx="39">
                  <c:v>0.04</c:v>
                </c:pt>
                <c:pt idx="4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0-4E6C-AE61-70F8A8B1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156655"/>
        <c:axId val="775158319"/>
      </c:barChart>
      <c:catAx>
        <c:axId val="77515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LINEA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158319"/>
        <c:crosses val="autoZero"/>
        <c:auto val="1"/>
        <c:lblAlgn val="ctr"/>
        <c:lblOffset val="100"/>
        <c:noMultiLvlLbl val="0"/>
      </c:catAx>
      <c:valAx>
        <c:axId val="7751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MW  /MVA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515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TENSIONES EN BUSES PU</a:t>
            </a:r>
          </a:p>
        </c:rich>
      </c:tx>
      <c:layout>
        <c:manualLayout>
          <c:xMode val="edge"/>
          <c:yMode val="edge"/>
          <c:x val="0.3728611111111110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'Caso A'!$AQ$5:$AQ$34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'Caso A'!$AR$5:$AR$34</c:f>
              <c:numCache>
                <c:formatCode>General</c:formatCode>
                <c:ptCount val="30"/>
                <c:pt idx="0">
                  <c:v>1.06</c:v>
                </c:pt>
                <c:pt idx="1">
                  <c:v>1.0449999999999999</c:v>
                </c:pt>
                <c:pt idx="2">
                  <c:v>1.0212000000000001</c:v>
                </c:pt>
                <c:pt idx="3">
                  <c:v>1.0123</c:v>
                </c:pt>
                <c:pt idx="4">
                  <c:v>1.01</c:v>
                </c:pt>
                <c:pt idx="5">
                  <c:v>1.0105999999999999</c:v>
                </c:pt>
                <c:pt idx="6">
                  <c:v>1.0025999999999999</c:v>
                </c:pt>
                <c:pt idx="7">
                  <c:v>1.01</c:v>
                </c:pt>
                <c:pt idx="8">
                  <c:v>1.0510999999999999</c:v>
                </c:pt>
                <c:pt idx="9">
                  <c:v>1.0454000000000001</c:v>
                </c:pt>
                <c:pt idx="10">
                  <c:v>1.0820000000000001</c:v>
                </c:pt>
                <c:pt idx="11">
                  <c:v>1.0572999999999999</c:v>
                </c:pt>
                <c:pt idx="12">
                  <c:v>1.071</c:v>
                </c:pt>
                <c:pt idx="13">
                  <c:v>1.0425</c:v>
                </c:pt>
                <c:pt idx="14">
                  <c:v>1.0379</c:v>
                </c:pt>
                <c:pt idx="15">
                  <c:v>1.0446</c:v>
                </c:pt>
                <c:pt idx="16">
                  <c:v>1.0402</c:v>
                </c:pt>
                <c:pt idx="17">
                  <c:v>1.0284</c:v>
                </c:pt>
                <c:pt idx="18">
                  <c:v>1.0259</c:v>
                </c:pt>
                <c:pt idx="19">
                  <c:v>1.03</c:v>
                </c:pt>
                <c:pt idx="20">
                  <c:v>1.0329999999999999</c:v>
                </c:pt>
                <c:pt idx="21">
                  <c:v>1.0335000000000001</c:v>
                </c:pt>
                <c:pt idx="22">
                  <c:v>1.0274000000000001</c:v>
                </c:pt>
                <c:pt idx="23">
                  <c:v>1.0218</c:v>
                </c:pt>
                <c:pt idx="24">
                  <c:v>1.0176000000000001</c:v>
                </c:pt>
                <c:pt idx="25">
                  <c:v>0.99990000000000001</c:v>
                </c:pt>
                <c:pt idx="26">
                  <c:v>1.0235000000000001</c:v>
                </c:pt>
                <c:pt idx="27">
                  <c:v>1.0071000000000001</c:v>
                </c:pt>
                <c:pt idx="28">
                  <c:v>1.0037</c:v>
                </c:pt>
                <c:pt idx="29">
                  <c:v>0.99219999999999997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2-4323-B34E-B5C3D82B7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085920"/>
        <c:axId val="964086400"/>
      </c:barChart>
      <c:catAx>
        <c:axId val="9640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4086400"/>
        <c:crosses val="autoZero"/>
        <c:auto val="1"/>
        <c:lblAlgn val="ctr"/>
        <c:lblOffset val="100"/>
        <c:noMultiLvlLbl val="0"/>
      </c:catAx>
      <c:valAx>
        <c:axId val="9640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40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TENSION</a:t>
            </a:r>
            <a:r>
              <a:rPr lang="es-CO" baseline="0"/>
              <a:t> EN BUSES PU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'Caso B'!$C$3:$C$4</c:f>
              <c:strCache>
                <c:ptCount val="2"/>
                <c:pt idx="0">
                  <c:v>Voltaje</c:v>
                </c:pt>
                <c:pt idx="1">
                  <c:v>(pu)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'Caso B'!$B$5:$B$34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'Caso B'!$C$5:$C$34</c:f>
              <c:numCache>
                <c:formatCode>#,##0.000</c:formatCode>
                <c:ptCount val="30"/>
                <c:pt idx="0" formatCode="#,##0.00">
                  <c:v>1.06</c:v>
                </c:pt>
                <c:pt idx="1">
                  <c:v>1.0449999999999999</c:v>
                </c:pt>
                <c:pt idx="2" formatCode="#,##0.0000">
                  <c:v>1.0184</c:v>
                </c:pt>
                <c:pt idx="3" formatCode="#,##0.0000">
                  <c:v>1.0093000000000001</c:v>
                </c:pt>
                <c:pt idx="4" formatCode="#,##0.00">
                  <c:v>1.01</c:v>
                </c:pt>
                <c:pt idx="5" formatCode="#,##0.0000">
                  <c:v>1.0084</c:v>
                </c:pt>
                <c:pt idx="6" formatCode="#,##0.0000">
                  <c:v>1.0004</c:v>
                </c:pt>
                <c:pt idx="7" formatCode="#,##0.00">
                  <c:v>1.01</c:v>
                </c:pt>
                <c:pt idx="8" formatCode="#,##0.0000">
                  <c:v>1.0476000000000001</c:v>
                </c:pt>
                <c:pt idx="9" formatCode="#,##0.0000">
                  <c:v>1.0395000000000001</c:v>
                </c:pt>
                <c:pt idx="10">
                  <c:v>1.0820000000000001</c:v>
                </c:pt>
                <c:pt idx="11" formatCode="#,##0.0000">
                  <c:v>1.0536000000000001</c:v>
                </c:pt>
                <c:pt idx="12">
                  <c:v>1.071</c:v>
                </c:pt>
                <c:pt idx="13">
                  <c:v>1.0369999999999999</c:v>
                </c:pt>
                <c:pt idx="14" formatCode="#,##0.0000">
                  <c:v>1.0318000000000001</c:v>
                </c:pt>
                <c:pt idx="15" formatCode="#,##0.0000">
                  <c:v>1.0390999999999999</c:v>
                </c:pt>
                <c:pt idx="16" formatCode="#,##0.0000">
                  <c:v>1.0339</c:v>
                </c:pt>
                <c:pt idx="17">
                  <c:v>1.0209999999999999</c:v>
                </c:pt>
                <c:pt idx="18" formatCode="#,##0.0000">
                  <c:v>1.0182</c:v>
                </c:pt>
                <c:pt idx="19" formatCode="#,##0.0000">
                  <c:v>1.0226</c:v>
                </c:pt>
                <c:pt idx="20" formatCode="#,##0.0000">
                  <c:v>1.0258</c:v>
                </c:pt>
                <c:pt idx="21" formatCode="#,##0.0000">
                  <c:v>1.0263</c:v>
                </c:pt>
                <c:pt idx="22" formatCode="#,##0.0000">
                  <c:v>1.0199</c:v>
                </c:pt>
                <c:pt idx="23" formatCode="#,##0.0000">
                  <c:v>1.0134000000000001</c:v>
                </c:pt>
                <c:pt idx="24" formatCode="#,##0.0000">
                  <c:v>1.0099</c:v>
                </c:pt>
                <c:pt idx="25" formatCode="General">
                  <c:v>0.99019999999999997</c:v>
                </c:pt>
                <c:pt idx="26" formatCode="#,##0.0000">
                  <c:v>1.0172000000000001</c:v>
                </c:pt>
                <c:pt idx="27" formatCode="#,##0.0000">
                  <c:v>1.0045999999999999</c:v>
                </c:pt>
                <c:pt idx="28" formatCode="General">
                  <c:v>0.99509999999999998</c:v>
                </c:pt>
                <c:pt idx="29" formatCode="General">
                  <c:v>0.98229999999999995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A-4311-86EA-74F0D8BA2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389504"/>
        <c:axId val="1329390944"/>
      </c:barChart>
      <c:catAx>
        <c:axId val="132938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9390944"/>
        <c:crosses val="autoZero"/>
        <c:auto val="1"/>
        <c:lblAlgn val="ctr"/>
        <c:lblOffset val="100"/>
        <c:noMultiLvlLbl val="0"/>
      </c:catAx>
      <c:valAx>
        <c:axId val="13293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938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POTENCIA</a:t>
            </a:r>
            <a:r>
              <a:rPr lang="es-CO" baseline="0"/>
              <a:t> DE NODOS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'Caso B'!$B$5:$B$34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'Caso B'!$J$5:$J$34</c:f>
              <c:numCache>
                <c:formatCode>0.000</c:formatCode>
                <c:ptCount val="30"/>
                <c:pt idx="0">
                  <c:v>260.2</c:v>
                </c:pt>
                <c:pt idx="1">
                  <c:v>16.13</c:v>
                </c:pt>
                <c:pt idx="2">
                  <c:v>-2.64</c:v>
                </c:pt>
                <c:pt idx="3">
                  <c:v>-8.36</c:v>
                </c:pt>
                <c:pt idx="4">
                  <c:v>-103.62</c:v>
                </c:pt>
                <c:pt idx="5">
                  <c:v>0</c:v>
                </c:pt>
                <c:pt idx="6">
                  <c:v>-25.08</c:v>
                </c:pt>
                <c:pt idx="7">
                  <c:v>-33</c:v>
                </c:pt>
                <c:pt idx="8">
                  <c:v>0</c:v>
                </c:pt>
                <c:pt idx="9">
                  <c:v>-6.38</c:v>
                </c:pt>
                <c:pt idx="10">
                  <c:v>0</c:v>
                </c:pt>
                <c:pt idx="11">
                  <c:v>-12.32</c:v>
                </c:pt>
                <c:pt idx="12">
                  <c:v>0</c:v>
                </c:pt>
                <c:pt idx="13">
                  <c:v>-6.82</c:v>
                </c:pt>
                <c:pt idx="14">
                  <c:v>-9.02</c:v>
                </c:pt>
                <c:pt idx="15">
                  <c:v>-3.85</c:v>
                </c:pt>
                <c:pt idx="16">
                  <c:v>-9.9</c:v>
                </c:pt>
                <c:pt idx="17">
                  <c:v>-3.52</c:v>
                </c:pt>
                <c:pt idx="18">
                  <c:v>-10.45</c:v>
                </c:pt>
                <c:pt idx="19">
                  <c:v>-2.42</c:v>
                </c:pt>
                <c:pt idx="20">
                  <c:v>-19.25</c:v>
                </c:pt>
                <c:pt idx="21">
                  <c:v>0</c:v>
                </c:pt>
                <c:pt idx="22">
                  <c:v>-3.52</c:v>
                </c:pt>
                <c:pt idx="23">
                  <c:v>-9.57</c:v>
                </c:pt>
                <c:pt idx="24">
                  <c:v>0</c:v>
                </c:pt>
                <c:pt idx="25">
                  <c:v>-3.85</c:v>
                </c:pt>
                <c:pt idx="26">
                  <c:v>0</c:v>
                </c:pt>
                <c:pt idx="27">
                  <c:v>0</c:v>
                </c:pt>
                <c:pt idx="28">
                  <c:v>-2.64</c:v>
                </c:pt>
                <c:pt idx="29">
                  <c:v>-11.66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96-4682-BF58-7FB6A52F72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'Caso B'!$B$5:$B$34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'Caso B'!$K$5:$K$34</c:f>
              <c:numCache>
                <c:formatCode>General</c:formatCode>
                <c:ptCount val="30"/>
                <c:pt idx="0">
                  <c:v>-25.053000000000001</c:v>
                </c:pt>
                <c:pt idx="1">
                  <c:v>52.905000000000001</c:v>
                </c:pt>
                <c:pt idx="2">
                  <c:v>-1.32</c:v>
                </c:pt>
                <c:pt idx="3">
                  <c:v>-1.76</c:v>
                </c:pt>
                <c:pt idx="4">
                  <c:v>22.570999999999998</c:v>
                </c:pt>
                <c:pt idx="5">
                  <c:v>0</c:v>
                </c:pt>
                <c:pt idx="6">
                  <c:v>-11.99</c:v>
                </c:pt>
                <c:pt idx="7">
                  <c:v>13.61</c:v>
                </c:pt>
                <c:pt idx="8">
                  <c:v>0</c:v>
                </c:pt>
                <c:pt idx="9">
                  <c:v>-2.2000000000000002</c:v>
                </c:pt>
                <c:pt idx="10">
                  <c:v>17.907</c:v>
                </c:pt>
                <c:pt idx="11">
                  <c:v>-8.25</c:v>
                </c:pt>
                <c:pt idx="12">
                  <c:v>13.337</c:v>
                </c:pt>
                <c:pt idx="13">
                  <c:v>-1.76</c:v>
                </c:pt>
                <c:pt idx="14">
                  <c:v>-2.75</c:v>
                </c:pt>
                <c:pt idx="15">
                  <c:v>-1.98</c:v>
                </c:pt>
                <c:pt idx="16">
                  <c:v>-6.38</c:v>
                </c:pt>
                <c:pt idx="17">
                  <c:v>-0.99</c:v>
                </c:pt>
                <c:pt idx="18">
                  <c:v>-3.74</c:v>
                </c:pt>
                <c:pt idx="19">
                  <c:v>-0.77</c:v>
                </c:pt>
                <c:pt idx="20">
                  <c:v>-12.32</c:v>
                </c:pt>
                <c:pt idx="21">
                  <c:v>0</c:v>
                </c:pt>
                <c:pt idx="22">
                  <c:v>-1.76</c:v>
                </c:pt>
                <c:pt idx="23">
                  <c:v>-7.37</c:v>
                </c:pt>
                <c:pt idx="24">
                  <c:v>0</c:v>
                </c:pt>
                <c:pt idx="25">
                  <c:v>-2.5299999999999998</c:v>
                </c:pt>
                <c:pt idx="26">
                  <c:v>0</c:v>
                </c:pt>
                <c:pt idx="27">
                  <c:v>0</c:v>
                </c:pt>
                <c:pt idx="28">
                  <c:v>-0.99</c:v>
                </c:pt>
                <c:pt idx="29">
                  <c:v>-2.09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96-4682-BF58-7FB6A52F7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45263"/>
        <c:axId val="549645679"/>
      </c:scatterChart>
      <c:valAx>
        <c:axId val="54964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#</a:t>
                </a:r>
                <a:r>
                  <a:rPr lang="es-CO" baseline="0"/>
                  <a:t> DE NODO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5596879778455809"/>
              <c:y val="0.7918098315447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9645679"/>
        <c:crosses val="autoZero"/>
        <c:crossBetween val="midCat"/>
      </c:valAx>
      <c:valAx>
        <c:axId val="5496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 MW </a:t>
                </a:r>
                <a:r>
                  <a:rPr lang="es-CO" baseline="0"/>
                  <a:t> /  </a:t>
                </a:r>
                <a:r>
                  <a:rPr lang="es-CO"/>
                  <a:t>MVA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9645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falla</a:t>
            </a:r>
            <a:r>
              <a:rPr lang="es-CO" baseline="0"/>
              <a:t> simetrica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'falla simetrica'!$B$4:$B$33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'falla simetrica'!$E$4:$E$33</c:f>
              <c:numCache>
                <c:formatCode>General</c:formatCode>
                <c:ptCount val="30"/>
                <c:pt idx="0">
                  <c:v>8.8099999999999998E-2</c:v>
                </c:pt>
                <c:pt idx="1">
                  <c:v>2.92E-2</c:v>
                </c:pt>
                <c:pt idx="2">
                  <c:v>2.92E-2</c:v>
                </c:pt>
                <c:pt idx="3">
                  <c:v>1.8200000000000001E-2</c:v>
                </c:pt>
                <c:pt idx="4">
                  <c:v>6.6400000000000001E-2</c:v>
                </c:pt>
                <c:pt idx="5">
                  <c:v>3.5499999999999997E-2</c:v>
                </c:pt>
                <c:pt idx="6">
                  <c:v>5.4199999999999998E-2</c:v>
                </c:pt>
                <c:pt idx="7">
                  <c:v>4.3200000000000002E-2</c:v>
                </c:pt>
                <c:pt idx="8">
                  <c:v>6.6500000000000004E-2</c:v>
                </c:pt>
                <c:pt idx="9">
                  <c:v>0.08</c:v>
                </c:pt>
                <c:pt idx="10">
                  <c:v>7.3700000000000002E-2</c:v>
                </c:pt>
                <c:pt idx="11">
                  <c:v>7.4999999999999997E-2</c:v>
                </c:pt>
                <c:pt idx="12">
                  <c:v>7.7899999999999997E-2</c:v>
                </c:pt>
                <c:pt idx="13">
                  <c:v>8.14E-2</c:v>
                </c:pt>
                <c:pt idx="14">
                  <c:v>8.1799999999999998E-2</c:v>
                </c:pt>
                <c:pt idx="15">
                  <c:v>7.8799999999999995E-2</c:v>
                </c:pt>
                <c:pt idx="16">
                  <c:v>8.1199999999999994E-2</c:v>
                </c:pt>
                <c:pt idx="17">
                  <c:v>8.6800000000000002E-2</c:v>
                </c:pt>
                <c:pt idx="18">
                  <c:v>8.8400000000000006E-2</c:v>
                </c:pt>
                <c:pt idx="19">
                  <c:v>8.6699999999999999E-2</c:v>
                </c:pt>
                <c:pt idx="20">
                  <c:v>8.3199999999999996E-2</c:v>
                </c:pt>
                <c:pt idx="21">
                  <c:v>8.3000000000000004E-2</c:v>
                </c:pt>
                <c:pt idx="22">
                  <c:v>8.4599999999999995E-2</c:v>
                </c:pt>
                <c:pt idx="23">
                  <c:v>8.5800000000000001E-2</c:v>
                </c:pt>
                <c:pt idx="24">
                  <c:v>8.2400000000000001E-2</c:v>
                </c:pt>
                <c:pt idx="25">
                  <c:v>8.6599999999999996E-2</c:v>
                </c:pt>
                <c:pt idx="26">
                  <c:v>7.8E-2</c:v>
                </c:pt>
                <c:pt idx="27">
                  <c:v>4.2099999999999999E-2</c:v>
                </c:pt>
                <c:pt idx="28">
                  <c:v>8.9899999999999994E-2</c:v>
                </c:pt>
                <c:pt idx="29">
                  <c:v>9.8799999999999999E-2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94-44B9-9F4D-8DE794995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376943"/>
        <c:axId val="1210101759"/>
      </c:scatterChart>
      <c:valAx>
        <c:axId val="12153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NODO</a:t>
                </a:r>
              </a:p>
            </c:rich>
          </c:tx>
          <c:layout>
            <c:manualLayout>
              <c:xMode val="edge"/>
              <c:yMode val="edge"/>
              <c:x val="0.48085979877515311"/>
              <c:y val="0.86942111402741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101759"/>
        <c:crosses val="autoZero"/>
        <c:crossBetween val="midCat"/>
      </c:valAx>
      <c:valAx>
        <c:axId val="12101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CORRIENTE</a:t>
                </a:r>
                <a:r>
                  <a:rPr lang="es-CO" baseline="0"/>
                  <a:t> PU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537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TENSIONES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42388724278488"/>
          <c:y val="0.15334364429084713"/>
          <c:w val="0.79957132177604617"/>
          <c:h val="0.64687010569979353"/>
        </c:manualLayout>
      </c:layout>
      <c:scatterChart>
        <c:scatterStyle val="smoothMarker"/>
        <c:varyColors val="0"/>
        <c:ser>
          <c:idx val="0"/>
          <c:order val="0"/>
          <c:tx>
            <c:v>TENSION BASE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'falla simetrica'!$B$4:$B$33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'falla simetrica'!$C$4:$C$33</c:f>
              <c:numCache>
                <c:formatCode>General</c:formatCode>
                <c:ptCount val="30"/>
                <c:pt idx="0">
                  <c:v>1.0232000000000001</c:v>
                </c:pt>
                <c:pt idx="1">
                  <c:v>1.0217000000000001</c:v>
                </c:pt>
                <c:pt idx="2">
                  <c:v>1.0217000000000001</c:v>
                </c:pt>
                <c:pt idx="3">
                  <c:v>1.0208999999999999</c:v>
                </c:pt>
                <c:pt idx="4">
                  <c:v>1.018</c:v>
                </c:pt>
                <c:pt idx="5">
                  <c:v>1.0207999999999999</c:v>
                </c:pt>
                <c:pt idx="6">
                  <c:v>1.0189999999999999</c:v>
                </c:pt>
                <c:pt idx="7">
                  <c:v>1.0201</c:v>
                </c:pt>
                <c:pt idx="8">
                  <c:v>1.0209999999999999</c:v>
                </c:pt>
                <c:pt idx="9">
                  <c:v>1.02</c:v>
                </c:pt>
                <c:pt idx="10">
                  <c:v>1.0281</c:v>
                </c:pt>
                <c:pt idx="11">
                  <c:v>1.0203</c:v>
                </c:pt>
                <c:pt idx="12">
                  <c:v>1.0237000000000001</c:v>
                </c:pt>
                <c:pt idx="13">
                  <c:v>1.0136000000000001</c:v>
                </c:pt>
                <c:pt idx="14">
                  <c:v>1.0175000000000001</c:v>
                </c:pt>
                <c:pt idx="15">
                  <c:v>1.018</c:v>
                </c:pt>
                <c:pt idx="16">
                  <c:v>1.0185999999999999</c:v>
                </c:pt>
                <c:pt idx="17">
                  <c:v>1.0130999999999999</c:v>
                </c:pt>
                <c:pt idx="18">
                  <c:v>1.0130999999999999</c:v>
                </c:pt>
                <c:pt idx="19">
                  <c:v>1.0145</c:v>
                </c:pt>
                <c:pt idx="20">
                  <c:v>1.0183</c:v>
                </c:pt>
                <c:pt idx="21">
                  <c:v>1.0182</c:v>
                </c:pt>
                <c:pt idx="22">
                  <c:v>1.0132000000000001</c:v>
                </c:pt>
                <c:pt idx="23">
                  <c:v>1.0144</c:v>
                </c:pt>
                <c:pt idx="24">
                  <c:v>1.0105</c:v>
                </c:pt>
                <c:pt idx="25">
                  <c:v>0.98040000000000005</c:v>
                </c:pt>
                <c:pt idx="26">
                  <c:v>1.0155000000000001</c:v>
                </c:pt>
                <c:pt idx="27">
                  <c:v>1.0199</c:v>
                </c:pt>
                <c:pt idx="28">
                  <c:v>0.99370000000000003</c:v>
                </c:pt>
                <c:pt idx="29">
                  <c:v>0.98419999999999996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34-4A94-A5E8-BC5CBA4D5D22}"/>
            </c:ext>
          </c:extLst>
        </c:ser>
        <c:ser>
          <c:idx val="1"/>
          <c:order val="1"/>
          <c:tx>
            <c:v>TENSION DE FALLA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'falla simetrica'!$B$4:$B$33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'falla simetrica'!$G$4:$G$33</c:f>
              <c:numCache>
                <c:formatCode>General</c:formatCode>
                <c:ptCount val="30"/>
                <c:pt idx="0">
                  <c:v>1.06</c:v>
                </c:pt>
                <c:pt idx="1">
                  <c:v>1.0449999999999999</c:v>
                </c:pt>
                <c:pt idx="2">
                  <c:v>1.0209999999999999</c:v>
                </c:pt>
                <c:pt idx="3">
                  <c:v>1.012</c:v>
                </c:pt>
                <c:pt idx="4">
                  <c:v>1.01</c:v>
                </c:pt>
                <c:pt idx="5">
                  <c:v>1.0109999999999999</c:v>
                </c:pt>
                <c:pt idx="6">
                  <c:v>1.0029999999999999</c:v>
                </c:pt>
                <c:pt idx="7">
                  <c:v>1.01</c:v>
                </c:pt>
                <c:pt idx="8">
                  <c:v>1.0509999999999999</c:v>
                </c:pt>
                <c:pt idx="9">
                  <c:v>1.0449999999999999</c:v>
                </c:pt>
                <c:pt idx="10">
                  <c:v>1.0820000000000001</c:v>
                </c:pt>
                <c:pt idx="11">
                  <c:v>1.0569999999999999</c:v>
                </c:pt>
                <c:pt idx="12">
                  <c:v>1.071</c:v>
                </c:pt>
                <c:pt idx="13">
                  <c:v>1.0429999999999999</c:v>
                </c:pt>
                <c:pt idx="14">
                  <c:v>1.038</c:v>
                </c:pt>
                <c:pt idx="15">
                  <c:v>1.0449999999999999</c:v>
                </c:pt>
                <c:pt idx="16">
                  <c:v>1.04</c:v>
                </c:pt>
                <c:pt idx="17">
                  <c:v>1.028</c:v>
                </c:pt>
                <c:pt idx="18">
                  <c:v>1.026</c:v>
                </c:pt>
                <c:pt idx="19">
                  <c:v>1.03</c:v>
                </c:pt>
                <c:pt idx="20">
                  <c:v>1.0329999999999999</c:v>
                </c:pt>
                <c:pt idx="21">
                  <c:v>1.034</c:v>
                </c:pt>
                <c:pt idx="22">
                  <c:v>1.0269999999999999</c:v>
                </c:pt>
                <c:pt idx="23">
                  <c:v>1.022</c:v>
                </c:pt>
                <c:pt idx="24">
                  <c:v>1.018</c:v>
                </c:pt>
                <c:pt idx="25">
                  <c:v>1</c:v>
                </c:pt>
                <c:pt idx="26">
                  <c:v>1.024</c:v>
                </c:pt>
                <c:pt idx="27">
                  <c:v>1.0069999999999999</c:v>
                </c:pt>
                <c:pt idx="28">
                  <c:v>1.004</c:v>
                </c:pt>
                <c:pt idx="29">
                  <c:v>0.99199999999999999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34-4A94-A5E8-BC5CBA4D5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224719"/>
        <c:axId val="1214223055"/>
      </c:scatterChart>
      <c:valAx>
        <c:axId val="121422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4223055"/>
        <c:crosses val="autoZero"/>
        <c:crossBetween val="midCat"/>
      </c:valAx>
      <c:valAx>
        <c:axId val="12142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</a:t>
                </a:r>
                <a:r>
                  <a:rPr lang="es-CO" baseline="0"/>
                  <a:t> PU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4224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58748634606991"/>
          <c:y val="0.88603810711831466"/>
          <c:w val="0.25712306079333563"/>
          <c:h val="9.857677861276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34</xdr:row>
      <xdr:rowOff>23812</xdr:rowOff>
    </xdr:from>
    <xdr:to>
      <xdr:col>8</xdr:col>
      <xdr:colOff>704850</xdr:colOff>
      <xdr:row>48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A8CECA-0B00-1582-00E2-E40E61B6E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638735</xdr:colOff>
      <xdr:row>44</xdr:row>
      <xdr:rowOff>89648</xdr:rowOff>
    </xdr:from>
    <xdr:to>
      <xdr:col>23</xdr:col>
      <xdr:colOff>728382</xdr:colOff>
      <xdr:row>67</xdr:row>
      <xdr:rowOff>67236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B8D163-13A7-6ABA-F561-032FE26A1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140859</xdr:colOff>
      <xdr:row>36</xdr:row>
      <xdr:rowOff>95441</xdr:rowOff>
    </xdr:from>
    <xdr:to>
      <xdr:col>38</xdr:col>
      <xdr:colOff>732262</xdr:colOff>
      <xdr:row>50</xdr:row>
      <xdr:rowOff>87443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049631-74E2-8F9E-F2E4-EA5CC2679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31750</xdr:rowOff>
    </xdr:from>
    <xdr:to>
      <xdr:col>6</xdr:col>
      <xdr:colOff>635000</xdr:colOff>
      <xdr:row>51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78FAA2-CD0E-35A4-53EB-52E97CA24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15353</xdr:colOff>
      <xdr:row>36</xdr:row>
      <xdr:rowOff>90190</xdr:rowOff>
    </xdr:from>
    <xdr:to>
      <xdr:col>19</xdr:col>
      <xdr:colOff>10467</xdr:colOff>
      <xdr:row>51</xdr:row>
      <xdr:rowOff>125604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A594C6-58B9-621F-C47A-EE0A7E7D4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36</xdr:row>
      <xdr:rowOff>123825</xdr:rowOff>
    </xdr:from>
    <xdr:to>
      <xdr:col>8</xdr:col>
      <xdr:colOff>552450</xdr:colOff>
      <xdr:row>51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4AEF02-6188-AADF-8A29-C55BD5948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7181850"/>
          <a:ext cx="4572000" cy="2743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35</xdr:row>
      <xdr:rowOff>14287</xdr:rowOff>
    </xdr:from>
    <xdr:to>
      <xdr:col>6</xdr:col>
      <xdr:colOff>514350</xdr:colOff>
      <xdr:row>49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61E3F1-6582-3EAD-A73B-FFADE9812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619124</xdr:colOff>
      <xdr:row>9</xdr:row>
      <xdr:rowOff>138111</xdr:rowOff>
    </xdr:from>
    <xdr:to>
      <xdr:col>14</xdr:col>
      <xdr:colOff>161925</xdr:colOff>
      <xdr:row>32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B3EC18-1E53-E4BE-E863-81D6D21C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</xdr:row>
      <xdr:rowOff>9525</xdr:rowOff>
    </xdr:from>
    <xdr:to>
      <xdr:col>14</xdr:col>
      <xdr:colOff>533400</xdr:colOff>
      <xdr:row>15</xdr:row>
      <xdr:rowOff>95250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E0CB281E-B2BB-9ED9-70A0-B8B8B09D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150" y="20002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17</xdr:row>
      <xdr:rowOff>152400</xdr:rowOff>
    </xdr:from>
    <xdr:to>
      <xdr:col>14</xdr:col>
      <xdr:colOff>409575</xdr:colOff>
      <xdr:row>32</xdr:row>
      <xdr:rowOff>38100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9A2CB4F5-7488-0CE6-A8AA-A0190FBA3E21}"/>
            </a:ext>
            <a:ext uri="{147F2762-F138-4A5C-976F-8EAC2B608ADB}">
              <a16:predDERef xmlns:a16="http://schemas.microsoft.com/office/drawing/2014/main" pred="{E0CB281E-B2BB-9ED9-70A0-B8B8B09D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3390900"/>
          <a:ext cx="4572000" cy="274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/Downloads/matriz_Y_b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(-5.224646179885656+15.646726840803398j)</v>
          </cell>
          <cell r="C2" t="str">
            <v>(-1.5408698687669766+5.631674830095234j)</v>
          </cell>
        </row>
        <row r="3">
          <cell r="D3" t="str">
            <v>(-1.7055303166990268+5.197379228256508j)</v>
          </cell>
          <cell r="E3" t="str">
            <v>(-1.135960788173878+4.7724793282813565j)</v>
          </cell>
          <cell r="F3" t="str">
            <v>(-1.6861448807654689+5.116477495334806j)</v>
          </cell>
        </row>
        <row r="4">
          <cell r="D4" t="str">
            <v>(-8.19544904231211+23.5308726290628j)</v>
          </cell>
        </row>
        <row r="5">
          <cell r="F5" t="str">
            <v>(-6.413123730174556+22.31120356548123j)</v>
          </cell>
          <cell r="L5" t="str">
            <v>4.1912553648068664j</v>
          </cell>
        </row>
        <row r="6">
          <cell r="G6" t="str">
            <v>(-2.954020035961983+7.449267916773697j)</v>
          </cell>
        </row>
        <row r="7">
          <cell r="G7" t="str">
            <v>(-3.590210423980992+11.02611441072814j)</v>
          </cell>
          <cell r="H7" t="str">
            <v>(-6.289308176100628+22.0125786163522j)</v>
          </cell>
          <cell r="I7" t="str">
            <v>4.915840805411357j</v>
          </cell>
          <cell r="J7" t="str">
            <v>1.8561002591115963j</v>
          </cell>
          <cell r="AB7" t="str">
            <v>(-4.362844058012917+15.463571542897856j)</v>
          </cell>
        </row>
        <row r="9">
          <cell r="AB9" t="str">
            <v>(-1.4439790613954469+4.540814658476248j)</v>
          </cell>
        </row>
        <row r="10">
          <cell r="J10" t="str">
            <v>9.090909090909092j</v>
          </cell>
          <cell r="K10" t="str">
            <v>4.8076923076923075j</v>
          </cell>
        </row>
        <row r="11">
          <cell r="Q11" t="str">
            <v>(-3.956039125715353+10.317447719844054j)</v>
          </cell>
          <cell r="T11" t="str">
            <v>(-1.7848303152666303+3.98535828943083j)</v>
          </cell>
          <cell r="U11" t="str">
            <v>(-5.101853820159654+10.98071411292983j)</v>
          </cell>
          <cell r="V11" t="str">
            <v>(-2.6193195533825975+5.4007703033294545j)</v>
          </cell>
        </row>
        <row r="13">
          <cell r="M13" t="str">
            <v>7.142857142857142j</v>
          </cell>
          <cell r="N13" t="str">
            <v>(-1.5265676088395577+3.1734252729654173j)</v>
          </cell>
          <cell r="O13" t="str">
            <v>(-3.0953961826564296+6.097275864326261j)</v>
          </cell>
          <cell r="P13" t="str">
            <v>(-1.951997792280169+4.104359379111847j)</v>
          </cell>
        </row>
        <row r="15">
          <cell r="O15" t="str">
            <v>(-2.490952263999462+2.2508740593696492j)</v>
          </cell>
        </row>
        <row r="16">
          <cell r="R16" t="str">
            <v>(-1.8108011504072024+3.6874189316306962j)</v>
          </cell>
          <cell r="W16" t="str">
            <v>(-1.9683489489016612+3.9760648767813556j)</v>
          </cell>
        </row>
        <row r="17">
          <cell r="Q17" t="str">
            <v>(-1.3190669363537615+4.8407742721532125j)</v>
          </cell>
        </row>
        <row r="19">
          <cell r="S19" t="str">
            <v>(-3.0756864340087167+6.218758799278971j)</v>
          </cell>
        </row>
        <row r="20">
          <cell r="T20" t="str">
            <v>(-5.88235294117647+11.76470588235294j)</v>
          </cell>
        </row>
        <row r="22">
          <cell r="V22" t="str">
            <v>(-16.774641369736234+34.127718648773715j)</v>
          </cell>
        </row>
        <row r="23">
          <cell r="X23" t="str">
            <v>(-2.5405381522555563+3.9544028630760395j)</v>
          </cell>
        </row>
        <row r="24">
          <cell r="X24" t="str">
            <v>(-1.4614056064833265+2.989238740534077j)</v>
          </cell>
        </row>
        <row r="25">
          <cell r="Y25" t="str">
            <v>(-1.3098929438742493+2.287622053705055j)</v>
          </cell>
        </row>
        <row r="26">
          <cell r="Z26" t="str">
            <v>(-1.2165301194494857+1.8171440463475022j)</v>
          </cell>
          <cell r="AA26" t="str">
            <v>(-1.9692920169982515+3.760212661917064j)</v>
          </cell>
        </row>
        <row r="28">
          <cell r="AC28" t="str">
            <v>(-0.9955335509526799+1.881005840357816j)</v>
          </cell>
          <cell r="AD28" t="str">
            <v>(-0.6874559028276572+1.293971494797717j)</v>
          </cell>
        </row>
        <row r="29">
          <cell r="AA29" t="str">
            <v>2.608731947574923j</v>
          </cell>
        </row>
        <row r="30">
          <cell r="AD30" t="str">
            <v>(-0.9120532070322762+1.7233585608492321j)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11F4-7EDA-4118-AA13-F6D7B3909047}">
  <dimension ref="B2:F6"/>
  <sheetViews>
    <sheetView workbookViewId="0">
      <selection activeCell="G8" sqref="G8"/>
    </sheetView>
  </sheetViews>
  <sheetFormatPr baseColWidth="10" defaultColWidth="11.3984375" defaultRowHeight="13.8"/>
  <sheetData>
    <row r="2" spans="2:6">
      <c r="B2" s="133" t="s">
        <v>0</v>
      </c>
      <c r="C2" s="133" t="s">
        <v>1</v>
      </c>
      <c r="D2" s="133" t="s">
        <v>2</v>
      </c>
      <c r="E2" s="133" t="s">
        <v>3</v>
      </c>
      <c r="F2" s="133" t="s">
        <v>4</v>
      </c>
    </row>
    <row r="3" spans="2:6">
      <c r="B3" s="134">
        <v>1</v>
      </c>
      <c r="C3" s="134">
        <f>(D3*D3)/E3</f>
        <v>10.89</v>
      </c>
      <c r="D3" s="134">
        <v>33</v>
      </c>
      <c r="E3" s="186">
        <v>100</v>
      </c>
      <c r="F3" s="134">
        <f>(E3)/(SQRT(3)*D3)</f>
        <v>1.7495462702715934</v>
      </c>
    </row>
    <row r="4" spans="2:6">
      <c r="B4" s="134">
        <v>2</v>
      </c>
      <c r="C4" s="134">
        <f>(D4*D4)/E3</f>
        <v>174.24</v>
      </c>
      <c r="D4" s="134">
        <v>132</v>
      </c>
      <c r="E4" s="186"/>
      <c r="F4" s="134">
        <f>(E3)/(SQRT(3)*D4)</f>
        <v>0.43738656756789834</v>
      </c>
    </row>
    <row r="5" spans="2:6">
      <c r="B5" s="135">
        <v>3</v>
      </c>
      <c r="C5" s="135"/>
      <c r="D5" s="135">
        <v>11</v>
      </c>
      <c r="E5" s="186"/>
      <c r="F5" s="134">
        <f>(E3)/(SQRT(3)*D5)</f>
        <v>5.2486388108147795</v>
      </c>
    </row>
    <row r="6" spans="2:6">
      <c r="B6" s="135">
        <v>4</v>
      </c>
      <c r="C6" s="135"/>
      <c r="D6" s="135">
        <v>1</v>
      </c>
      <c r="E6" s="186"/>
      <c r="F6" s="134">
        <f>(E3)/(SQRT(3)*D6)</f>
        <v>57.735026918962582</v>
      </c>
    </row>
  </sheetData>
  <mergeCells count="1">
    <mergeCell ref="E3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A6F4-FC3D-49AC-BE6C-FD0DFAADFC2D}">
  <dimension ref="A1:T33"/>
  <sheetViews>
    <sheetView zoomScale="80" zoomScaleNormal="80" workbookViewId="0">
      <selection activeCell="B3" sqref="B3:L33"/>
    </sheetView>
  </sheetViews>
  <sheetFormatPr baseColWidth="10" defaultColWidth="11.3984375" defaultRowHeight="13.8"/>
  <cols>
    <col min="3" max="11" width="11.3984375" bestFit="1" customWidth="1"/>
    <col min="19" max="19" width="11.69921875" style="11" customWidth="1"/>
    <col min="20" max="20" width="11.59765625" style="11"/>
  </cols>
  <sheetData>
    <row r="1" spans="1:20">
      <c r="B1" t="s">
        <v>5</v>
      </c>
    </row>
    <row r="3" spans="1:20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0</v>
      </c>
      <c r="N3" s="1" t="s">
        <v>17</v>
      </c>
      <c r="O3" s="1" t="s">
        <v>18</v>
      </c>
      <c r="Q3" s="1" t="s">
        <v>19</v>
      </c>
      <c r="R3" s="1" t="s">
        <v>20</v>
      </c>
      <c r="S3" s="14" t="s">
        <v>21</v>
      </c>
      <c r="T3" s="14" t="s">
        <v>22</v>
      </c>
    </row>
    <row r="4" spans="1:20">
      <c r="A4" s="13"/>
      <c r="B4" s="1">
        <v>1</v>
      </c>
      <c r="C4" s="1" t="s">
        <v>23</v>
      </c>
      <c r="D4" s="1">
        <v>3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 t="s">
        <v>24</v>
      </c>
      <c r="K4" s="1">
        <v>0</v>
      </c>
      <c r="L4" s="1">
        <v>132</v>
      </c>
      <c r="M4" s="1">
        <v>1</v>
      </c>
      <c r="N4" s="1" t="s">
        <v>24</v>
      </c>
      <c r="O4" s="1" t="s">
        <v>25</v>
      </c>
      <c r="Q4" s="10">
        <f>E4</f>
        <v>0</v>
      </c>
      <c r="R4" s="10">
        <f>F4</f>
        <v>0</v>
      </c>
      <c r="S4" s="12">
        <v>0</v>
      </c>
      <c r="T4" s="12">
        <v>0</v>
      </c>
    </row>
    <row r="5" spans="1:20" s="13" customFormat="1">
      <c r="B5" s="3">
        <v>2</v>
      </c>
      <c r="C5" s="3" t="s">
        <v>26</v>
      </c>
      <c r="D5" s="3">
        <v>2</v>
      </c>
      <c r="E5" s="3" t="s">
        <v>27</v>
      </c>
      <c r="F5" s="3" t="s">
        <v>28</v>
      </c>
      <c r="G5" s="3">
        <v>0</v>
      </c>
      <c r="H5" s="3">
        <v>0</v>
      </c>
      <c r="I5" s="3">
        <v>1</v>
      </c>
      <c r="J5" s="15">
        <v>1043</v>
      </c>
      <c r="K5" s="3" t="s">
        <v>29</v>
      </c>
      <c r="L5" s="3">
        <v>132</v>
      </c>
      <c r="M5" s="3">
        <v>1</v>
      </c>
      <c r="N5" s="3" t="s">
        <v>24</v>
      </c>
      <c r="O5" s="3" t="s">
        <v>25</v>
      </c>
      <c r="Q5" s="9" t="str">
        <f t="shared" ref="Q5:Q33" si="0">E5</f>
        <v>21.7</v>
      </c>
      <c r="R5" s="9" t="str">
        <f t="shared" ref="R5:R33" si="1">F5</f>
        <v>12.7</v>
      </c>
      <c r="S5" s="16">
        <v>18.3</v>
      </c>
      <c r="T5" s="16">
        <f>50-12.7</f>
        <v>37.299999999999997</v>
      </c>
    </row>
    <row r="6" spans="1:20">
      <c r="B6" s="1">
        <v>3</v>
      </c>
      <c r="C6" s="1" t="s">
        <v>30</v>
      </c>
      <c r="D6" s="1">
        <v>1</v>
      </c>
      <c r="E6" s="1" t="s">
        <v>31</v>
      </c>
      <c r="F6" s="1" t="s">
        <v>32</v>
      </c>
      <c r="G6" s="1">
        <v>0</v>
      </c>
      <c r="H6" s="1">
        <v>0</v>
      </c>
      <c r="I6" s="1">
        <v>1</v>
      </c>
      <c r="J6" s="2">
        <v>1021</v>
      </c>
      <c r="K6" s="1" t="s">
        <v>33</v>
      </c>
      <c r="L6" s="1">
        <v>132</v>
      </c>
      <c r="M6" s="1">
        <v>1</v>
      </c>
      <c r="N6" s="1" t="s">
        <v>24</v>
      </c>
      <c r="O6" s="1" t="s">
        <v>25</v>
      </c>
      <c r="Q6" s="10" t="str">
        <f t="shared" si="0"/>
        <v>2.4</v>
      </c>
      <c r="R6" s="10" t="str">
        <f t="shared" si="1"/>
        <v>1.2</v>
      </c>
      <c r="S6" s="12">
        <v>-2.4</v>
      </c>
      <c r="T6" s="12">
        <v>-1.2</v>
      </c>
    </row>
    <row r="7" spans="1:20">
      <c r="B7" s="1">
        <v>4</v>
      </c>
      <c r="C7" s="1" t="s">
        <v>30</v>
      </c>
      <c r="D7" s="1">
        <v>1</v>
      </c>
      <c r="E7" s="1" t="s">
        <v>34</v>
      </c>
      <c r="F7" s="1" t="s">
        <v>35</v>
      </c>
      <c r="G7" s="1">
        <v>0</v>
      </c>
      <c r="H7" s="1">
        <v>0</v>
      </c>
      <c r="I7" s="1">
        <v>1</v>
      </c>
      <c r="J7" s="2">
        <v>1012</v>
      </c>
      <c r="K7" s="1" t="s">
        <v>36</v>
      </c>
      <c r="L7" s="1">
        <v>132</v>
      </c>
      <c r="M7" s="1">
        <v>1</v>
      </c>
      <c r="N7" s="1" t="s">
        <v>24</v>
      </c>
      <c r="O7" s="1" t="s">
        <v>25</v>
      </c>
      <c r="Q7" s="10" t="str">
        <f t="shared" si="0"/>
        <v>7.6</v>
      </c>
      <c r="R7" s="10" t="str">
        <f t="shared" si="1"/>
        <v>1.6</v>
      </c>
      <c r="S7" s="12">
        <v>-7.6</v>
      </c>
      <c r="T7" s="12">
        <v>-1.2</v>
      </c>
    </row>
    <row r="8" spans="1:20" s="13" customFormat="1">
      <c r="B8" s="3">
        <v>5</v>
      </c>
      <c r="C8" s="3" t="s">
        <v>26</v>
      </c>
      <c r="D8" s="3">
        <v>2</v>
      </c>
      <c r="E8" s="3" t="s">
        <v>37</v>
      </c>
      <c r="F8" s="3">
        <v>19</v>
      </c>
      <c r="G8" s="3">
        <v>0</v>
      </c>
      <c r="H8" s="3">
        <v>0</v>
      </c>
      <c r="I8" s="3">
        <v>1</v>
      </c>
      <c r="J8" s="3" t="s">
        <v>38</v>
      </c>
      <c r="K8" s="3" t="s">
        <v>39</v>
      </c>
      <c r="L8" s="3">
        <v>132</v>
      </c>
      <c r="M8" s="3">
        <v>1</v>
      </c>
      <c r="N8" s="3" t="s">
        <v>24</v>
      </c>
      <c r="O8" s="3" t="s">
        <v>25</v>
      </c>
      <c r="Q8" s="9" t="str">
        <f t="shared" si="0"/>
        <v>94.2</v>
      </c>
      <c r="R8" s="9">
        <f t="shared" si="1"/>
        <v>19</v>
      </c>
      <c r="S8" s="16">
        <v>-94.2</v>
      </c>
      <c r="T8" s="16">
        <v>0</v>
      </c>
    </row>
    <row r="9" spans="1:20">
      <c r="B9" s="1">
        <v>6</v>
      </c>
      <c r="C9" s="1" t="s">
        <v>30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 t="s">
        <v>38</v>
      </c>
      <c r="K9" s="1" t="s">
        <v>40</v>
      </c>
      <c r="L9" s="1">
        <v>132</v>
      </c>
      <c r="M9" s="1">
        <v>1</v>
      </c>
      <c r="N9" s="1" t="s">
        <v>24</v>
      </c>
      <c r="O9" s="1" t="s">
        <v>25</v>
      </c>
      <c r="Q9" s="10">
        <f t="shared" si="0"/>
        <v>0</v>
      </c>
      <c r="R9" s="10">
        <f t="shared" si="1"/>
        <v>0</v>
      </c>
      <c r="S9" s="12">
        <f>E9</f>
        <v>0</v>
      </c>
      <c r="T9" s="12">
        <f t="shared" ref="T9:T33" si="2">F9</f>
        <v>0</v>
      </c>
    </row>
    <row r="10" spans="1:20">
      <c r="B10" s="1">
        <v>7</v>
      </c>
      <c r="C10" s="1" t="s">
        <v>30</v>
      </c>
      <c r="D10" s="1">
        <v>1</v>
      </c>
      <c r="E10" s="1" t="s">
        <v>41</v>
      </c>
      <c r="F10" s="1" t="s">
        <v>42</v>
      </c>
      <c r="G10" s="1">
        <v>0</v>
      </c>
      <c r="H10" s="1">
        <v>0</v>
      </c>
      <c r="I10" s="1">
        <v>1</v>
      </c>
      <c r="J10" s="2">
        <v>1002</v>
      </c>
      <c r="K10" s="1" t="s">
        <v>43</v>
      </c>
      <c r="L10" s="1">
        <v>132</v>
      </c>
      <c r="M10" s="1">
        <v>1</v>
      </c>
      <c r="N10" s="1" t="s">
        <v>24</v>
      </c>
      <c r="O10" s="1" t="s">
        <v>25</v>
      </c>
      <c r="Q10" s="10" t="str">
        <f t="shared" si="0"/>
        <v>22.8</v>
      </c>
      <c r="R10" s="10" t="str">
        <f t="shared" si="1"/>
        <v>10.9</v>
      </c>
      <c r="S10" s="12">
        <v>22.8</v>
      </c>
      <c r="T10" s="12">
        <v>-10.9</v>
      </c>
    </row>
    <row r="11" spans="1:20" s="13" customFormat="1">
      <c r="B11" s="3">
        <v>8</v>
      </c>
      <c r="C11" s="3" t="s">
        <v>26</v>
      </c>
      <c r="D11" s="3">
        <v>2</v>
      </c>
      <c r="E11" s="3">
        <v>30</v>
      </c>
      <c r="F11" s="3">
        <v>30</v>
      </c>
      <c r="G11" s="3">
        <v>0</v>
      </c>
      <c r="H11" s="3">
        <v>0</v>
      </c>
      <c r="I11" s="3">
        <v>1</v>
      </c>
      <c r="J11" s="3" t="s">
        <v>38</v>
      </c>
      <c r="K11" s="3" t="s">
        <v>44</v>
      </c>
      <c r="L11" s="3">
        <v>132</v>
      </c>
      <c r="M11" s="3">
        <v>1</v>
      </c>
      <c r="N11" s="3" t="s">
        <v>24</v>
      </c>
      <c r="O11" s="3" t="s">
        <v>25</v>
      </c>
      <c r="Q11" s="9">
        <f t="shared" si="0"/>
        <v>30</v>
      </c>
      <c r="R11" s="9">
        <f t="shared" si="1"/>
        <v>30</v>
      </c>
      <c r="S11" s="16">
        <v>-30</v>
      </c>
      <c r="T11" s="16"/>
    </row>
    <row r="12" spans="1:20">
      <c r="B12" s="1">
        <v>9</v>
      </c>
      <c r="C12" s="1" t="s">
        <v>30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2">
        <v>1051</v>
      </c>
      <c r="K12" s="1" t="s">
        <v>45</v>
      </c>
      <c r="L12" s="1">
        <v>1</v>
      </c>
      <c r="M12" s="1">
        <v>1</v>
      </c>
      <c r="N12" s="1" t="s">
        <v>24</v>
      </c>
      <c r="O12" s="1" t="s">
        <v>25</v>
      </c>
      <c r="Q12" s="10">
        <f t="shared" si="0"/>
        <v>0</v>
      </c>
      <c r="R12" s="10">
        <f t="shared" si="1"/>
        <v>0</v>
      </c>
      <c r="S12" s="12">
        <f t="shared" ref="S12:S33" si="3">E12</f>
        <v>0</v>
      </c>
      <c r="T12" s="12">
        <f t="shared" si="2"/>
        <v>0</v>
      </c>
    </row>
    <row r="13" spans="1:20">
      <c r="B13" s="1">
        <v>10</v>
      </c>
      <c r="C13" s="1" t="s">
        <v>30</v>
      </c>
      <c r="D13" s="1">
        <v>1</v>
      </c>
      <c r="E13" s="1" t="s">
        <v>46</v>
      </c>
      <c r="F13" s="1">
        <v>2</v>
      </c>
      <c r="G13" s="1">
        <v>0</v>
      </c>
      <c r="H13" s="1">
        <v>19</v>
      </c>
      <c r="I13" s="1">
        <v>1</v>
      </c>
      <c r="J13" s="2">
        <v>1045</v>
      </c>
      <c r="K13" s="1" t="s">
        <v>47</v>
      </c>
      <c r="L13" s="1">
        <v>33</v>
      </c>
      <c r="M13" s="1">
        <v>1</v>
      </c>
      <c r="N13" s="1" t="s">
        <v>24</v>
      </c>
      <c r="O13" s="1" t="s">
        <v>25</v>
      </c>
      <c r="Q13" s="10" t="str">
        <f t="shared" si="0"/>
        <v>5.8</v>
      </c>
      <c r="R13" s="10">
        <f t="shared" si="1"/>
        <v>2</v>
      </c>
      <c r="S13" s="12" t="str">
        <f t="shared" si="3"/>
        <v>5.8</v>
      </c>
      <c r="T13" s="12">
        <v>-2</v>
      </c>
    </row>
    <row r="14" spans="1:20" s="13" customFormat="1">
      <c r="B14" s="3">
        <v>11</v>
      </c>
      <c r="C14" s="3" t="s">
        <v>26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15">
        <v>1082</v>
      </c>
      <c r="K14" s="3" t="s">
        <v>48</v>
      </c>
      <c r="L14" s="3">
        <v>11</v>
      </c>
      <c r="M14" s="3">
        <v>1</v>
      </c>
      <c r="N14" s="3" t="s">
        <v>24</v>
      </c>
      <c r="O14" s="3" t="s">
        <v>25</v>
      </c>
      <c r="Q14" s="9">
        <f t="shared" si="0"/>
        <v>0</v>
      </c>
      <c r="R14" s="9">
        <f t="shared" si="1"/>
        <v>0</v>
      </c>
      <c r="S14" s="16">
        <f t="shared" si="3"/>
        <v>0</v>
      </c>
      <c r="T14" s="16">
        <v>0</v>
      </c>
    </row>
    <row r="15" spans="1:20">
      <c r="B15" s="1">
        <v>12</v>
      </c>
      <c r="C15" s="1" t="s">
        <v>30</v>
      </c>
      <c r="D15" s="1">
        <v>1</v>
      </c>
      <c r="E15" s="1" t="s">
        <v>49</v>
      </c>
      <c r="F15" s="1" t="s">
        <v>50</v>
      </c>
      <c r="G15" s="1">
        <v>0</v>
      </c>
      <c r="H15" s="1">
        <v>0</v>
      </c>
      <c r="I15" s="1">
        <v>1</v>
      </c>
      <c r="J15" s="2">
        <v>1057</v>
      </c>
      <c r="K15" s="1" t="s">
        <v>51</v>
      </c>
      <c r="L15" s="1">
        <v>33</v>
      </c>
      <c r="M15" s="1">
        <v>1</v>
      </c>
      <c r="N15" s="1" t="s">
        <v>24</v>
      </c>
      <c r="O15" s="1" t="s">
        <v>25</v>
      </c>
      <c r="Q15" s="10" t="str">
        <f t="shared" si="0"/>
        <v>11.2</v>
      </c>
      <c r="R15" s="10" t="str">
        <f t="shared" si="1"/>
        <v>7.5</v>
      </c>
      <c r="S15" s="12" t="str">
        <f t="shared" si="3"/>
        <v>11.2</v>
      </c>
      <c r="T15" s="12">
        <v>-7.5</v>
      </c>
    </row>
    <row r="16" spans="1:20" s="13" customFormat="1">
      <c r="B16" s="3">
        <v>13</v>
      </c>
      <c r="C16" s="3" t="s">
        <v>26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15">
        <v>1071</v>
      </c>
      <c r="K16" s="3" t="s">
        <v>51</v>
      </c>
      <c r="L16" s="3">
        <v>11</v>
      </c>
      <c r="M16" s="3">
        <v>1</v>
      </c>
      <c r="N16" s="3" t="s">
        <v>24</v>
      </c>
      <c r="O16" s="3" t="s">
        <v>25</v>
      </c>
      <c r="Q16" s="9">
        <f t="shared" si="0"/>
        <v>0</v>
      </c>
      <c r="R16" s="9">
        <f t="shared" si="1"/>
        <v>0</v>
      </c>
      <c r="S16" s="16">
        <f t="shared" si="3"/>
        <v>0</v>
      </c>
      <c r="T16" s="16">
        <v>0</v>
      </c>
    </row>
    <row r="17" spans="2:20">
      <c r="B17" s="1">
        <v>14</v>
      </c>
      <c r="C17" s="1" t="s">
        <v>30</v>
      </c>
      <c r="D17" s="1">
        <v>1</v>
      </c>
      <c r="E17" s="1" t="s">
        <v>52</v>
      </c>
      <c r="F17" s="1" t="s">
        <v>35</v>
      </c>
      <c r="G17" s="1">
        <v>0</v>
      </c>
      <c r="H17" s="1">
        <v>0</v>
      </c>
      <c r="I17" s="1">
        <v>1</v>
      </c>
      <c r="J17" s="2">
        <v>1042</v>
      </c>
      <c r="K17" s="1" t="s">
        <v>53</v>
      </c>
      <c r="L17" s="1">
        <v>33</v>
      </c>
      <c r="M17" s="1">
        <v>1</v>
      </c>
      <c r="N17" s="1" t="s">
        <v>24</v>
      </c>
      <c r="O17" s="1" t="s">
        <v>25</v>
      </c>
      <c r="Q17" s="10" t="str">
        <f t="shared" si="0"/>
        <v>6.2</v>
      </c>
      <c r="R17" s="10" t="str">
        <f t="shared" si="1"/>
        <v>1.6</v>
      </c>
      <c r="S17" s="12" t="str">
        <f t="shared" si="3"/>
        <v>6.2</v>
      </c>
      <c r="T17" s="12">
        <v>-1.6</v>
      </c>
    </row>
    <row r="18" spans="2:20">
      <c r="B18" s="1">
        <v>15</v>
      </c>
      <c r="C18" s="1" t="s">
        <v>30</v>
      </c>
      <c r="D18" s="1">
        <v>1</v>
      </c>
      <c r="E18" s="1" t="s">
        <v>54</v>
      </c>
      <c r="F18" s="1" t="s">
        <v>55</v>
      </c>
      <c r="G18" s="1">
        <v>0</v>
      </c>
      <c r="H18" s="1">
        <v>0</v>
      </c>
      <c r="I18" s="1">
        <v>1</v>
      </c>
      <c r="J18" s="2">
        <v>1038</v>
      </c>
      <c r="K18" s="1" t="s">
        <v>56</v>
      </c>
      <c r="L18" s="1">
        <v>33</v>
      </c>
      <c r="M18" s="1">
        <v>1</v>
      </c>
      <c r="N18" s="1" t="s">
        <v>24</v>
      </c>
      <c r="O18" s="1" t="s">
        <v>25</v>
      </c>
      <c r="Q18" s="10" t="str">
        <f t="shared" si="0"/>
        <v>8.2</v>
      </c>
      <c r="R18" s="10" t="str">
        <f t="shared" si="1"/>
        <v>2.5</v>
      </c>
      <c r="S18" s="12" t="str">
        <f t="shared" si="3"/>
        <v>8.2</v>
      </c>
      <c r="T18" s="12">
        <v>-2.5</v>
      </c>
    </row>
    <row r="19" spans="2:20">
      <c r="B19" s="1">
        <v>16</v>
      </c>
      <c r="C19" s="1" t="s">
        <v>30</v>
      </c>
      <c r="D19" s="1">
        <v>1</v>
      </c>
      <c r="E19" s="1" t="s">
        <v>57</v>
      </c>
      <c r="F19" s="1" t="s">
        <v>58</v>
      </c>
      <c r="G19" s="1">
        <v>0</v>
      </c>
      <c r="H19" s="1">
        <v>0</v>
      </c>
      <c r="I19" s="1">
        <v>1</v>
      </c>
      <c r="J19" s="2">
        <v>1045</v>
      </c>
      <c r="K19" s="1" t="s">
        <v>59</v>
      </c>
      <c r="L19" s="1">
        <v>33</v>
      </c>
      <c r="M19" s="1">
        <v>1</v>
      </c>
      <c r="N19" s="1" t="s">
        <v>24</v>
      </c>
      <c r="O19" s="1" t="s">
        <v>25</v>
      </c>
      <c r="Q19" s="10" t="str">
        <f t="shared" si="0"/>
        <v>3.5</v>
      </c>
      <c r="R19" s="10" t="str">
        <f t="shared" si="1"/>
        <v>1.8</v>
      </c>
      <c r="S19" s="12" t="str">
        <f t="shared" si="3"/>
        <v>3.5</v>
      </c>
      <c r="T19" s="12">
        <v>-1.8</v>
      </c>
    </row>
    <row r="20" spans="2:20">
      <c r="B20" s="1">
        <v>17</v>
      </c>
      <c r="C20" s="1" t="s">
        <v>30</v>
      </c>
      <c r="D20" s="1">
        <v>1</v>
      </c>
      <c r="E20" s="1">
        <v>9</v>
      </c>
      <c r="F20" s="1" t="s">
        <v>46</v>
      </c>
      <c r="G20" s="1">
        <v>0</v>
      </c>
      <c r="H20" s="1">
        <v>0</v>
      </c>
      <c r="I20" s="1">
        <v>1</v>
      </c>
      <c r="J20" s="1" t="s">
        <v>60</v>
      </c>
      <c r="K20" s="1" t="s">
        <v>61</v>
      </c>
      <c r="L20" s="1">
        <v>33</v>
      </c>
      <c r="M20" s="1">
        <v>1</v>
      </c>
      <c r="N20" s="1" t="s">
        <v>24</v>
      </c>
      <c r="O20" s="1" t="s">
        <v>25</v>
      </c>
      <c r="Q20" s="10">
        <f t="shared" si="0"/>
        <v>9</v>
      </c>
      <c r="R20" s="10" t="str">
        <f t="shared" si="1"/>
        <v>5.8</v>
      </c>
      <c r="S20" s="12">
        <f t="shared" si="3"/>
        <v>9</v>
      </c>
      <c r="T20" s="12">
        <v>-5.8</v>
      </c>
    </row>
    <row r="21" spans="2:20">
      <c r="B21" s="1">
        <v>18</v>
      </c>
      <c r="C21" s="1" t="s">
        <v>30</v>
      </c>
      <c r="D21" s="1">
        <v>1</v>
      </c>
      <c r="E21" s="1" t="s">
        <v>62</v>
      </c>
      <c r="F21" s="1" t="s">
        <v>63</v>
      </c>
      <c r="G21" s="1">
        <v>0</v>
      </c>
      <c r="H21" s="1">
        <v>0</v>
      </c>
      <c r="I21" s="1">
        <v>1</v>
      </c>
      <c r="J21" s="2">
        <v>1028</v>
      </c>
      <c r="K21" s="1" t="s">
        <v>64</v>
      </c>
      <c r="L21" s="1">
        <v>33</v>
      </c>
      <c r="M21" s="1">
        <v>1</v>
      </c>
      <c r="N21" s="1" t="s">
        <v>24</v>
      </c>
      <c r="O21" s="1" t="s">
        <v>25</v>
      </c>
      <c r="Q21" s="10" t="str">
        <f t="shared" si="0"/>
        <v>3.2</v>
      </c>
      <c r="R21" s="10" t="str">
        <f t="shared" si="1"/>
        <v>0.9</v>
      </c>
      <c r="S21" s="12" t="str">
        <f t="shared" si="3"/>
        <v>3.2</v>
      </c>
      <c r="T21" s="12">
        <v>-0.9</v>
      </c>
    </row>
    <row r="22" spans="2:20">
      <c r="B22" s="1">
        <v>19</v>
      </c>
      <c r="C22" s="1" t="s">
        <v>30</v>
      </c>
      <c r="D22" s="1">
        <v>1</v>
      </c>
      <c r="E22" s="1" t="s">
        <v>65</v>
      </c>
      <c r="F22" s="1" t="s">
        <v>66</v>
      </c>
      <c r="G22" s="1">
        <v>0</v>
      </c>
      <c r="H22" s="1">
        <v>0</v>
      </c>
      <c r="I22" s="1">
        <v>1</v>
      </c>
      <c r="J22" s="2">
        <v>1026</v>
      </c>
      <c r="K22" s="1">
        <v>-17</v>
      </c>
      <c r="L22" s="1">
        <v>33</v>
      </c>
      <c r="M22" s="1">
        <v>1</v>
      </c>
      <c r="N22" s="1" t="s">
        <v>24</v>
      </c>
      <c r="O22" s="1" t="s">
        <v>25</v>
      </c>
      <c r="Q22" s="10" t="str">
        <f t="shared" si="0"/>
        <v>9.5</v>
      </c>
      <c r="R22" s="10" t="str">
        <f t="shared" si="1"/>
        <v>3.4</v>
      </c>
      <c r="S22" s="12" t="str">
        <f t="shared" si="3"/>
        <v>9.5</v>
      </c>
      <c r="T22" s="12">
        <v>-3.4</v>
      </c>
    </row>
    <row r="23" spans="2:20">
      <c r="B23" s="1">
        <v>20</v>
      </c>
      <c r="C23" s="1" t="s">
        <v>30</v>
      </c>
      <c r="D23" s="1">
        <v>1</v>
      </c>
      <c r="E23" s="1" t="s">
        <v>67</v>
      </c>
      <c r="F23" s="1" t="s">
        <v>68</v>
      </c>
      <c r="G23" s="1">
        <v>0</v>
      </c>
      <c r="H23" s="1">
        <v>0</v>
      </c>
      <c r="I23" s="1">
        <v>1</v>
      </c>
      <c r="J23" s="1" t="s">
        <v>69</v>
      </c>
      <c r="K23" s="1" t="s">
        <v>70</v>
      </c>
      <c r="L23" s="1">
        <v>33</v>
      </c>
      <c r="M23" s="1">
        <v>1</v>
      </c>
      <c r="N23" s="1" t="s">
        <v>24</v>
      </c>
      <c r="O23" s="1" t="s">
        <v>25</v>
      </c>
      <c r="Q23" s="10" t="str">
        <f t="shared" si="0"/>
        <v>2.2</v>
      </c>
      <c r="R23" s="10" t="str">
        <f t="shared" si="1"/>
        <v>0.7</v>
      </c>
      <c r="S23" s="12" t="str">
        <f t="shared" si="3"/>
        <v>2.2</v>
      </c>
      <c r="T23" s="12">
        <v>-0.7</v>
      </c>
    </row>
    <row r="24" spans="2:20">
      <c r="B24" s="1">
        <v>21</v>
      </c>
      <c r="C24" s="1" t="s">
        <v>30</v>
      </c>
      <c r="D24" s="1">
        <v>1</v>
      </c>
      <c r="E24" s="1" t="s">
        <v>71</v>
      </c>
      <c r="F24" s="1" t="s">
        <v>49</v>
      </c>
      <c r="G24" s="1">
        <v>0</v>
      </c>
      <c r="H24" s="1">
        <v>0</v>
      </c>
      <c r="I24" s="1">
        <v>1</v>
      </c>
      <c r="J24" s="2">
        <v>1033</v>
      </c>
      <c r="K24" s="1" t="s">
        <v>72</v>
      </c>
      <c r="L24" s="1">
        <v>33</v>
      </c>
      <c r="M24" s="1">
        <v>1</v>
      </c>
      <c r="N24" s="1" t="s">
        <v>24</v>
      </c>
      <c r="O24" s="1" t="s">
        <v>25</v>
      </c>
      <c r="Q24" s="10" t="str">
        <f t="shared" si="0"/>
        <v>17.5</v>
      </c>
      <c r="R24" s="10" t="str">
        <f t="shared" si="1"/>
        <v>11.2</v>
      </c>
      <c r="S24" s="12" t="str">
        <f t="shared" si="3"/>
        <v>17.5</v>
      </c>
      <c r="T24" s="12">
        <v>-11.2</v>
      </c>
    </row>
    <row r="25" spans="2:20">
      <c r="B25" s="1">
        <v>22</v>
      </c>
      <c r="C25" s="1" t="s">
        <v>30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2">
        <v>1033</v>
      </c>
      <c r="K25" s="1" t="s">
        <v>73</v>
      </c>
      <c r="L25" s="1">
        <v>33</v>
      </c>
      <c r="M25" s="1">
        <v>1</v>
      </c>
      <c r="N25" s="1" t="s">
        <v>24</v>
      </c>
      <c r="O25" s="1" t="s">
        <v>25</v>
      </c>
      <c r="Q25" s="10">
        <f t="shared" si="0"/>
        <v>0</v>
      </c>
      <c r="R25" s="10">
        <f t="shared" si="1"/>
        <v>0</v>
      </c>
      <c r="S25" s="12">
        <f t="shared" si="3"/>
        <v>0</v>
      </c>
      <c r="T25" s="12">
        <f t="shared" si="2"/>
        <v>0</v>
      </c>
    </row>
    <row r="26" spans="2:20">
      <c r="B26" s="1">
        <v>23</v>
      </c>
      <c r="C26" s="1" t="s">
        <v>30</v>
      </c>
      <c r="D26" s="1">
        <v>1</v>
      </c>
      <c r="E26" s="1" t="s">
        <v>62</v>
      </c>
      <c r="F26" s="1" t="s">
        <v>35</v>
      </c>
      <c r="G26" s="1">
        <v>0</v>
      </c>
      <c r="H26" s="1">
        <v>0</v>
      </c>
      <c r="I26" s="1">
        <v>1</v>
      </c>
      <c r="J26" s="2">
        <v>1027</v>
      </c>
      <c r="K26" s="1" t="s">
        <v>74</v>
      </c>
      <c r="L26" s="1">
        <v>33</v>
      </c>
      <c r="M26" s="1">
        <v>1</v>
      </c>
      <c r="N26" s="1" t="s">
        <v>24</v>
      </c>
      <c r="O26" s="1" t="s">
        <v>25</v>
      </c>
      <c r="Q26" s="10" t="str">
        <f t="shared" si="0"/>
        <v>3.2</v>
      </c>
      <c r="R26" s="10" t="str">
        <f t="shared" si="1"/>
        <v>1.6</v>
      </c>
      <c r="S26" s="12" t="str">
        <f t="shared" si="3"/>
        <v>3.2</v>
      </c>
      <c r="T26" s="12" t="str">
        <f t="shared" si="2"/>
        <v>1.6</v>
      </c>
    </row>
    <row r="27" spans="2:20">
      <c r="B27" s="1">
        <v>24</v>
      </c>
      <c r="C27" s="1" t="s">
        <v>30</v>
      </c>
      <c r="D27" s="1">
        <v>1</v>
      </c>
      <c r="E27" s="1" t="s">
        <v>75</v>
      </c>
      <c r="F27" s="1" t="s">
        <v>76</v>
      </c>
      <c r="G27" s="1">
        <v>0</v>
      </c>
      <c r="H27" s="1" t="s">
        <v>77</v>
      </c>
      <c r="I27" s="1">
        <v>1</v>
      </c>
      <c r="J27" s="2">
        <v>1021</v>
      </c>
      <c r="K27" s="1" t="s">
        <v>78</v>
      </c>
      <c r="L27" s="1">
        <v>33</v>
      </c>
      <c r="M27" s="1">
        <v>1</v>
      </c>
      <c r="N27" s="1" t="s">
        <v>24</v>
      </c>
      <c r="O27" s="1" t="s">
        <v>25</v>
      </c>
      <c r="Q27" s="10" t="str">
        <f t="shared" si="0"/>
        <v>8.7</v>
      </c>
      <c r="R27" s="10" t="str">
        <f t="shared" si="1"/>
        <v>6.7</v>
      </c>
      <c r="S27" s="12" t="str">
        <f t="shared" si="3"/>
        <v>8.7</v>
      </c>
      <c r="T27" s="12" t="str">
        <f t="shared" si="2"/>
        <v>6.7</v>
      </c>
    </row>
    <row r="28" spans="2:20">
      <c r="B28" s="1">
        <v>25</v>
      </c>
      <c r="C28" s="1" t="s">
        <v>30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2">
        <v>1017</v>
      </c>
      <c r="K28" s="1" t="s">
        <v>79</v>
      </c>
      <c r="L28" s="1">
        <v>33</v>
      </c>
      <c r="M28" s="1">
        <v>1</v>
      </c>
      <c r="N28" s="1" t="s">
        <v>24</v>
      </c>
      <c r="O28" s="1" t="s">
        <v>25</v>
      </c>
      <c r="Q28" s="10">
        <f t="shared" si="0"/>
        <v>0</v>
      </c>
      <c r="R28" s="10">
        <f t="shared" si="1"/>
        <v>0</v>
      </c>
      <c r="S28" s="12">
        <f t="shared" si="3"/>
        <v>0</v>
      </c>
      <c r="T28" s="12">
        <f t="shared" si="2"/>
        <v>0</v>
      </c>
    </row>
    <row r="29" spans="2:20">
      <c r="B29" s="1">
        <v>26</v>
      </c>
      <c r="C29" s="1" t="s">
        <v>30</v>
      </c>
      <c r="D29" s="1">
        <v>1</v>
      </c>
      <c r="E29" s="1" t="s">
        <v>57</v>
      </c>
      <c r="F29" s="1" t="s">
        <v>80</v>
      </c>
      <c r="G29" s="1">
        <v>0</v>
      </c>
      <c r="H29" s="1">
        <v>0</v>
      </c>
      <c r="I29" s="1">
        <v>1</v>
      </c>
      <c r="J29" s="1">
        <v>1</v>
      </c>
      <c r="K29" s="1" t="s">
        <v>81</v>
      </c>
      <c r="L29" s="1">
        <v>33</v>
      </c>
      <c r="M29" s="1">
        <v>1</v>
      </c>
      <c r="N29" s="1" t="s">
        <v>24</v>
      </c>
      <c r="O29" s="1" t="s">
        <v>25</v>
      </c>
      <c r="Q29" s="10" t="str">
        <f t="shared" si="0"/>
        <v>3.5</v>
      </c>
      <c r="R29" s="10" t="str">
        <f t="shared" si="1"/>
        <v>2.3</v>
      </c>
      <c r="S29" s="12" t="str">
        <f t="shared" si="3"/>
        <v>3.5</v>
      </c>
      <c r="T29" s="12" t="str">
        <f t="shared" si="2"/>
        <v>2.3</v>
      </c>
    </row>
    <row r="30" spans="2:20">
      <c r="B30" s="1">
        <v>27</v>
      </c>
      <c r="C30" s="1" t="s">
        <v>30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2">
        <v>1023</v>
      </c>
      <c r="K30" s="1" t="s">
        <v>82</v>
      </c>
      <c r="L30" s="1">
        <v>33</v>
      </c>
      <c r="M30" s="1">
        <v>1</v>
      </c>
      <c r="N30" s="1" t="s">
        <v>24</v>
      </c>
      <c r="O30" s="1" t="s">
        <v>25</v>
      </c>
      <c r="Q30" s="10">
        <f t="shared" si="0"/>
        <v>0</v>
      </c>
      <c r="R30" s="10">
        <f t="shared" si="1"/>
        <v>0</v>
      </c>
      <c r="S30" s="12">
        <f t="shared" si="3"/>
        <v>0</v>
      </c>
      <c r="T30" s="12">
        <f t="shared" si="2"/>
        <v>0</v>
      </c>
    </row>
    <row r="31" spans="2:20">
      <c r="B31" s="1">
        <v>28</v>
      </c>
      <c r="C31" s="1" t="s">
        <v>30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2">
        <v>1007</v>
      </c>
      <c r="K31" s="1" t="s">
        <v>83</v>
      </c>
      <c r="L31" s="1">
        <v>132</v>
      </c>
      <c r="M31" s="1">
        <v>1</v>
      </c>
      <c r="N31" s="1" t="s">
        <v>24</v>
      </c>
      <c r="O31" s="1" t="s">
        <v>25</v>
      </c>
      <c r="Q31" s="10">
        <f t="shared" si="0"/>
        <v>0</v>
      </c>
      <c r="R31" s="10">
        <f t="shared" si="1"/>
        <v>0</v>
      </c>
      <c r="S31" s="12">
        <f t="shared" si="3"/>
        <v>0</v>
      </c>
      <c r="T31" s="12">
        <f t="shared" si="2"/>
        <v>0</v>
      </c>
    </row>
    <row r="32" spans="2:20">
      <c r="B32" s="1">
        <v>29</v>
      </c>
      <c r="C32" s="1" t="s">
        <v>30</v>
      </c>
      <c r="D32" s="1">
        <v>1</v>
      </c>
      <c r="E32" s="1" t="s">
        <v>31</v>
      </c>
      <c r="F32" s="1" t="s">
        <v>63</v>
      </c>
      <c r="G32" s="1">
        <v>0</v>
      </c>
      <c r="H32" s="1">
        <v>0</v>
      </c>
      <c r="I32" s="1">
        <v>1</v>
      </c>
      <c r="J32" s="2">
        <v>1003</v>
      </c>
      <c r="K32" s="1" t="s">
        <v>84</v>
      </c>
      <c r="L32" s="1">
        <v>33</v>
      </c>
      <c r="M32" s="1">
        <v>1</v>
      </c>
      <c r="N32" s="1" t="s">
        <v>24</v>
      </c>
      <c r="O32" s="1" t="s">
        <v>25</v>
      </c>
      <c r="Q32" s="10" t="str">
        <f t="shared" si="0"/>
        <v>2.4</v>
      </c>
      <c r="R32" s="10" t="str">
        <f t="shared" si="1"/>
        <v>0.9</v>
      </c>
      <c r="S32" s="12" t="str">
        <f t="shared" si="3"/>
        <v>2.4</v>
      </c>
      <c r="T32" s="12" t="str">
        <f t="shared" si="2"/>
        <v>0.9</v>
      </c>
    </row>
    <row r="33" spans="2:20">
      <c r="B33" s="1">
        <v>30</v>
      </c>
      <c r="C33" s="1" t="s">
        <v>30</v>
      </c>
      <c r="D33" s="1">
        <v>1</v>
      </c>
      <c r="E33" s="1" t="s">
        <v>85</v>
      </c>
      <c r="F33" s="1" t="s">
        <v>86</v>
      </c>
      <c r="G33" s="1">
        <v>0</v>
      </c>
      <c r="H33" s="1">
        <v>0</v>
      </c>
      <c r="I33" s="1">
        <v>1</v>
      </c>
      <c r="J33" s="1" t="s">
        <v>87</v>
      </c>
      <c r="K33" s="1" t="s">
        <v>88</v>
      </c>
      <c r="L33" s="1">
        <v>33</v>
      </c>
      <c r="M33" s="1">
        <v>1</v>
      </c>
      <c r="N33" s="1" t="s">
        <v>24</v>
      </c>
      <c r="O33" s="1" t="s">
        <v>25</v>
      </c>
      <c r="Q33" s="10" t="str">
        <f t="shared" si="0"/>
        <v>10.6</v>
      </c>
      <c r="R33" s="10" t="str">
        <f t="shared" si="1"/>
        <v>1.9</v>
      </c>
      <c r="S33" s="12" t="str">
        <f t="shared" si="3"/>
        <v>10.6</v>
      </c>
      <c r="T33" s="12" t="str">
        <f t="shared" si="2"/>
        <v>1.9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0238-CAC1-464F-B58F-A5A516FDAE8F}">
  <dimension ref="A1:U43"/>
  <sheetViews>
    <sheetView workbookViewId="0">
      <selection activeCell="C1" sqref="B1:U1048576"/>
    </sheetView>
  </sheetViews>
  <sheetFormatPr baseColWidth="10" defaultColWidth="11.3984375" defaultRowHeight="13.8"/>
  <cols>
    <col min="4" max="6" width="11.3984375" customWidth="1"/>
    <col min="7" max="18" width="11.59765625" customWidth="1"/>
    <col min="19" max="19" width="17.69921875" customWidth="1"/>
    <col min="20" max="20" width="33.69921875" bestFit="1" customWidth="1"/>
  </cols>
  <sheetData>
    <row r="1" spans="1:21">
      <c r="B1" s="187" t="s">
        <v>89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</row>
    <row r="2" spans="1:21" s="4" customFormat="1"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5" t="s">
        <v>98</v>
      </c>
      <c r="K2" s="5" t="s">
        <v>99</v>
      </c>
      <c r="L2" s="5" t="s">
        <v>100</v>
      </c>
      <c r="M2" s="5" t="s">
        <v>101</v>
      </c>
      <c r="N2" s="5" t="s">
        <v>102</v>
      </c>
      <c r="O2" s="7" t="s">
        <v>103</v>
      </c>
      <c r="P2" s="7" t="s">
        <v>104</v>
      </c>
      <c r="Q2" s="7" t="s">
        <v>105</v>
      </c>
      <c r="R2" s="7" t="s">
        <v>106</v>
      </c>
      <c r="S2" s="7" t="s">
        <v>107</v>
      </c>
      <c r="T2" s="7" t="s">
        <v>108</v>
      </c>
      <c r="U2" s="7" t="s">
        <v>109</v>
      </c>
    </row>
    <row r="3" spans="1:21">
      <c r="A3">
        <v>0</v>
      </c>
      <c r="B3" s="6">
        <v>1</v>
      </c>
      <c r="C3" s="6">
        <v>2</v>
      </c>
      <c r="D3" s="6" t="s">
        <v>110</v>
      </c>
      <c r="E3" s="6" t="s">
        <v>111</v>
      </c>
      <c r="F3" s="6" t="s">
        <v>112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-360</v>
      </c>
      <c r="N3" s="6" t="s">
        <v>113</v>
      </c>
      <c r="O3" s="8" t="str">
        <f>SUBSTITUTE(D3,".",",")</f>
        <v>0,0192</v>
      </c>
      <c r="P3" s="8" t="str">
        <f t="shared" ref="P3:Q18" si="0">SUBSTITUTE(E3,".",",")</f>
        <v>0,0575</v>
      </c>
      <c r="Q3" s="8" t="str">
        <f t="shared" si="0"/>
        <v>0,0528</v>
      </c>
      <c r="R3" s="8">
        <f>Q3/2</f>
        <v>2.64E-2</v>
      </c>
      <c r="S3" s="8" t="str">
        <f>COMPLEX(O3,P3)</f>
        <v>0,0192+0,0575i</v>
      </c>
      <c r="T3" s="8" t="str">
        <f>IMDIV(1,S3)</f>
        <v>5,22464617988566-15,6467268408034i</v>
      </c>
      <c r="U3" s="8" t="str">
        <f>COMPLEX(A3,R3)</f>
        <v>0,0264i</v>
      </c>
    </row>
    <row r="4" spans="1:21">
      <c r="A4">
        <v>0</v>
      </c>
      <c r="B4" s="6">
        <v>1</v>
      </c>
      <c r="C4" s="6">
        <v>3</v>
      </c>
      <c r="D4" s="6" t="s">
        <v>114</v>
      </c>
      <c r="E4" s="6" t="s">
        <v>115</v>
      </c>
      <c r="F4" s="6" t="s">
        <v>116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-360</v>
      </c>
      <c r="N4" s="6" t="s">
        <v>113</v>
      </c>
      <c r="O4" s="8" t="str">
        <f t="shared" ref="O4:Q43" si="1">SUBSTITUTE(D4,".",",")</f>
        <v>0,0452</v>
      </c>
      <c r="P4" s="8" t="str">
        <f t="shared" si="0"/>
        <v>0,1652</v>
      </c>
      <c r="Q4" s="8" t="str">
        <f t="shared" si="0"/>
        <v>0,0408</v>
      </c>
      <c r="R4" s="8">
        <f t="shared" ref="R4:R43" si="2">Q4/2</f>
        <v>2.0400000000000001E-2</v>
      </c>
      <c r="S4" s="8" t="str">
        <f t="shared" ref="S4:S43" si="3">COMPLEX(O4,P4)</f>
        <v>0,0452+0,1652i</v>
      </c>
      <c r="T4" s="8" t="str">
        <f t="shared" ref="T4:T43" si="4">IMDIV(1,S4)</f>
        <v>1,54086986876698-5,63167483009523i</v>
      </c>
      <c r="U4" s="8" t="str">
        <f t="shared" ref="U4:U43" si="5">COMPLEX(A4,R4)</f>
        <v>0,0204i</v>
      </c>
    </row>
    <row r="5" spans="1:21">
      <c r="A5">
        <v>0</v>
      </c>
      <c r="B5" s="6">
        <v>2</v>
      </c>
      <c r="C5" s="6">
        <v>4</v>
      </c>
      <c r="D5" s="6" t="s">
        <v>117</v>
      </c>
      <c r="E5" s="6" t="s">
        <v>118</v>
      </c>
      <c r="F5" s="6" t="s">
        <v>119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-360</v>
      </c>
      <c r="N5" s="6" t="s">
        <v>113</v>
      </c>
      <c r="O5" s="8" t="str">
        <f t="shared" si="1"/>
        <v>0,057</v>
      </c>
      <c r="P5" s="8" t="str">
        <f t="shared" si="0"/>
        <v>0,1737</v>
      </c>
      <c r="Q5" s="8" t="str">
        <f t="shared" si="0"/>
        <v>0,0368</v>
      </c>
      <c r="R5" s="8">
        <f t="shared" si="2"/>
        <v>1.84E-2</v>
      </c>
      <c r="S5" s="8" t="str">
        <f t="shared" si="3"/>
        <v>0,057+0,1737i</v>
      </c>
      <c r="T5" s="8" t="str">
        <f t="shared" si="4"/>
        <v>1,70553031669903-5,19737922825651i</v>
      </c>
      <c r="U5" s="8" t="str">
        <f t="shared" si="5"/>
        <v>0,0184i</v>
      </c>
    </row>
    <row r="6" spans="1:21">
      <c r="A6">
        <v>0</v>
      </c>
      <c r="B6" s="6">
        <v>3</v>
      </c>
      <c r="C6" s="6">
        <v>4</v>
      </c>
      <c r="D6" s="6" t="s">
        <v>120</v>
      </c>
      <c r="E6" s="6" t="s">
        <v>121</v>
      </c>
      <c r="F6" s="6" t="s">
        <v>122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6">
        <v>-360</v>
      </c>
      <c r="N6" s="6" t="s">
        <v>113</v>
      </c>
      <c r="O6" s="8" t="str">
        <f t="shared" si="1"/>
        <v>0,0132</v>
      </c>
      <c r="P6" s="8" t="str">
        <f t="shared" si="0"/>
        <v>0,0379</v>
      </c>
      <c r="Q6" s="8" t="str">
        <f t="shared" si="0"/>
        <v>0,0084</v>
      </c>
      <c r="R6" s="8">
        <f t="shared" si="2"/>
        <v>4.1999999999999997E-3</v>
      </c>
      <c r="S6" s="8" t="str">
        <f t="shared" si="3"/>
        <v>0,0132+0,0379i</v>
      </c>
      <c r="T6" s="8" t="str">
        <f t="shared" si="4"/>
        <v>8,19544904231211-23,5308726290628i</v>
      </c>
      <c r="U6" s="8" t="str">
        <f t="shared" si="5"/>
        <v>0,0042i</v>
      </c>
    </row>
    <row r="7" spans="1:21">
      <c r="A7">
        <v>0</v>
      </c>
      <c r="B7" s="6">
        <v>2</v>
      </c>
      <c r="C7" s="6">
        <v>5</v>
      </c>
      <c r="D7" s="6" t="s">
        <v>123</v>
      </c>
      <c r="E7" s="6" t="s">
        <v>124</v>
      </c>
      <c r="F7" s="6" t="s">
        <v>125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-360</v>
      </c>
      <c r="N7" s="6" t="s">
        <v>113</v>
      </c>
      <c r="O7" s="8" t="str">
        <f t="shared" si="1"/>
        <v>0,0472</v>
      </c>
      <c r="P7" s="8" t="str">
        <f t="shared" si="0"/>
        <v>0,1983</v>
      </c>
      <c r="Q7" s="8" t="str">
        <f t="shared" si="0"/>
        <v>0,0418</v>
      </c>
      <c r="R7" s="8">
        <f t="shared" si="2"/>
        <v>2.0899999999999998E-2</v>
      </c>
      <c r="S7" s="8" t="str">
        <f t="shared" si="3"/>
        <v>0,0472+0,1983i</v>
      </c>
      <c r="T7" s="8" t="str">
        <f t="shared" si="4"/>
        <v>1,13596078817388-4,77247932828136i</v>
      </c>
      <c r="U7" s="8" t="str">
        <f t="shared" si="5"/>
        <v>0,0209i</v>
      </c>
    </row>
    <row r="8" spans="1:21">
      <c r="A8">
        <v>0</v>
      </c>
      <c r="B8" s="6">
        <v>2</v>
      </c>
      <c r="C8" s="6">
        <v>6</v>
      </c>
      <c r="D8" s="6" t="s">
        <v>126</v>
      </c>
      <c r="E8" s="6" t="s">
        <v>127</v>
      </c>
      <c r="F8" s="6" t="s">
        <v>128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-360</v>
      </c>
      <c r="N8" s="6" t="s">
        <v>113</v>
      </c>
      <c r="O8" s="8" t="str">
        <f t="shared" si="1"/>
        <v>0,0581</v>
      </c>
      <c r="P8" s="8" t="str">
        <f t="shared" si="0"/>
        <v>0,1763</v>
      </c>
      <c r="Q8" s="8" t="str">
        <f t="shared" si="0"/>
        <v>0,0374</v>
      </c>
      <c r="R8" s="8">
        <f t="shared" si="2"/>
        <v>1.8700000000000001E-2</v>
      </c>
      <c r="S8" s="8" t="str">
        <f t="shared" si="3"/>
        <v>0,0581+0,1763i</v>
      </c>
      <c r="T8" s="8" t="str">
        <f t="shared" si="4"/>
        <v>1,68614488076547-5,11647749533481i</v>
      </c>
      <c r="U8" s="8" t="str">
        <f t="shared" si="5"/>
        <v>0,0187i</v>
      </c>
    </row>
    <row r="9" spans="1:21">
      <c r="A9">
        <v>0</v>
      </c>
      <c r="B9" s="6">
        <v>4</v>
      </c>
      <c r="C9" s="6">
        <v>6</v>
      </c>
      <c r="D9" s="6" t="s">
        <v>129</v>
      </c>
      <c r="E9" s="6" t="s">
        <v>130</v>
      </c>
      <c r="F9" s="6" t="s">
        <v>131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1</v>
      </c>
      <c r="M9" s="6">
        <v>-360</v>
      </c>
      <c r="N9" s="6" t="s">
        <v>113</v>
      </c>
      <c r="O9" s="8" t="str">
        <f t="shared" si="1"/>
        <v>0,0119</v>
      </c>
      <c r="P9" s="8" t="str">
        <f t="shared" si="0"/>
        <v>0,0414</v>
      </c>
      <c r="Q9" s="8" t="str">
        <f t="shared" si="0"/>
        <v>0,009</v>
      </c>
      <c r="R9" s="8">
        <f t="shared" si="2"/>
        <v>4.4999999999999997E-3</v>
      </c>
      <c r="S9" s="8" t="str">
        <f t="shared" si="3"/>
        <v>0,0119+0,0414i</v>
      </c>
      <c r="T9" s="8" t="str">
        <f t="shared" si="4"/>
        <v>6,41312373017456-22,3112035654812i</v>
      </c>
      <c r="U9" s="8" t="str">
        <f t="shared" si="5"/>
        <v>0,0045i</v>
      </c>
    </row>
    <row r="10" spans="1:21">
      <c r="A10">
        <v>0</v>
      </c>
      <c r="B10" s="6">
        <v>5</v>
      </c>
      <c r="C10" s="6">
        <v>7</v>
      </c>
      <c r="D10" s="6" t="s">
        <v>132</v>
      </c>
      <c r="E10" s="6" t="s">
        <v>133</v>
      </c>
      <c r="F10" s="6" t="s">
        <v>134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-360</v>
      </c>
      <c r="N10" s="6" t="s">
        <v>113</v>
      </c>
      <c r="O10" s="8" t="str">
        <f t="shared" si="1"/>
        <v>0,046</v>
      </c>
      <c r="P10" s="8" t="str">
        <f t="shared" si="0"/>
        <v>0,116</v>
      </c>
      <c r="Q10" s="8" t="str">
        <f t="shared" si="0"/>
        <v>0,0204</v>
      </c>
      <c r="R10" s="8">
        <f t="shared" si="2"/>
        <v>1.0200000000000001E-2</v>
      </c>
      <c r="S10" s="8" t="str">
        <f t="shared" si="3"/>
        <v>0,046+0,116i</v>
      </c>
      <c r="T10" s="8" t="str">
        <f t="shared" si="4"/>
        <v>2,95402003596198-7,4492679167737i</v>
      </c>
      <c r="U10" s="8" t="str">
        <f t="shared" si="5"/>
        <v>0,0102i</v>
      </c>
    </row>
    <row r="11" spans="1:21">
      <c r="A11">
        <v>0</v>
      </c>
      <c r="B11" s="6">
        <v>6</v>
      </c>
      <c r="C11" s="6">
        <v>7</v>
      </c>
      <c r="D11" s="6" t="s">
        <v>135</v>
      </c>
      <c r="E11" s="6" t="s">
        <v>136</v>
      </c>
      <c r="F11" s="6" t="s">
        <v>137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-360</v>
      </c>
      <c r="N11" s="6" t="s">
        <v>113</v>
      </c>
      <c r="O11" s="8" t="str">
        <f t="shared" si="1"/>
        <v>0,0267</v>
      </c>
      <c r="P11" s="8" t="str">
        <f t="shared" si="0"/>
        <v>0,082</v>
      </c>
      <c r="Q11" s="8" t="str">
        <f t="shared" si="0"/>
        <v>0,017</v>
      </c>
      <c r="R11" s="8">
        <f t="shared" si="2"/>
        <v>8.5000000000000006E-3</v>
      </c>
      <c r="S11" s="8" t="str">
        <f t="shared" si="3"/>
        <v>0,0267+0,082i</v>
      </c>
      <c r="T11" s="8" t="str">
        <f t="shared" si="4"/>
        <v>3,59021042398099-11,0261144107281i</v>
      </c>
      <c r="U11" s="8" t="str">
        <f t="shared" si="5"/>
        <v>0,0085i</v>
      </c>
    </row>
    <row r="12" spans="1:21">
      <c r="A12">
        <v>0</v>
      </c>
      <c r="B12" s="6">
        <v>6</v>
      </c>
      <c r="C12" s="6">
        <v>8</v>
      </c>
      <c r="D12" s="6" t="s">
        <v>138</v>
      </c>
      <c r="E12" s="6" t="s">
        <v>139</v>
      </c>
      <c r="F12" s="6" t="s">
        <v>131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-360</v>
      </c>
      <c r="N12" s="6" t="s">
        <v>113</v>
      </c>
      <c r="O12" s="8" t="str">
        <f t="shared" si="1"/>
        <v>0,012</v>
      </c>
      <c r="P12" s="8" t="str">
        <f t="shared" si="0"/>
        <v>0,042</v>
      </c>
      <c r="Q12" s="8" t="str">
        <f t="shared" si="0"/>
        <v>0,009</v>
      </c>
      <c r="R12" s="8">
        <f t="shared" si="2"/>
        <v>4.4999999999999997E-3</v>
      </c>
      <c r="S12" s="8" t="str">
        <f t="shared" si="3"/>
        <v>0,012+0,042i</v>
      </c>
      <c r="T12" s="8" t="str">
        <f t="shared" si="4"/>
        <v>6,28930817610063-22,0125786163522i</v>
      </c>
      <c r="U12" s="8" t="str">
        <f t="shared" si="5"/>
        <v>0,0045i</v>
      </c>
    </row>
    <row r="13" spans="1:21">
      <c r="A13">
        <v>0</v>
      </c>
      <c r="B13" s="6">
        <v>6</v>
      </c>
      <c r="C13" s="6">
        <v>9</v>
      </c>
      <c r="D13" s="6">
        <v>0</v>
      </c>
      <c r="E13" s="6" t="s">
        <v>140</v>
      </c>
      <c r="F13" s="6">
        <v>0</v>
      </c>
      <c r="G13" s="6">
        <v>0</v>
      </c>
      <c r="H13" s="6">
        <v>0</v>
      </c>
      <c r="I13" s="6">
        <v>0</v>
      </c>
      <c r="J13" s="6" t="s">
        <v>141</v>
      </c>
      <c r="K13" s="6">
        <v>0</v>
      </c>
      <c r="L13" s="6">
        <v>1</v>
      </c>
      <c r="M13" s="6">
        <v>-360</v>
      </c>
      <c r="N13" s="6" t="s">
        <v>113</v>
      </c>
      <c r="O13" s="8" t="str">
        <f t="shared" si="1"/>
        <v>0</v>
      </c>
      <c r="P13" s="8" t="str">
        <f t="shared" si="0"/>
        <v>0,208</v>
      </c>
      <c r="Q13" s="8" t="str">
        <f t="shared" si="0"/>
        <v>0</v>
      </c>
      <c r="R13" s="8">
        <f t="shared" si="2"/>
        <v>0</v>
      </c>
      <c r="S13" s="8" t="str">
        <f t="shared" si="3"/>
        <v>0,208i</v>
      </c>
      <c r="T13" s="8" t="str">
        <f t="shared" si="4"/>
        <v>-4,80769230769231i</v>
      </c>
      <c r="U13" s="8" t="str">
        <f t="shared" si="5"/>
        <v>0</v>
      </c>
    </row>
    <row r="14" spans="1:21">
      <c r="A14">
        <v>0</v>
      </c>
      <c r="B14" s="6">
        <v>6</v>
      </c>
      <c r="C14" s="6">
        <v>10</v>
      </c>
      <c r="D14" s="6">
        <v>0</v>
      </c>
      <c r="E14" s="6" t="s">
        <v>142</v>
      </c>
      <c r="F14" s="6">
        <v>0</v>
      </c>
      <c r="G14" s="6">
        <v>0</v>
      </c>
      <c r="H14" s="6">
        <v>0</v>
      </c>
      <c r="I14" s="6">
        <v>0</v>
      </c>
      <c r="J14" s="6" t="s">
        <v>143</v>
      </c>
      <c r="K14" s="6">
        <v>0</v>
      </c>
      <c r="L14" s="6">
        <v>1</v>
      </c>
      <c r="M14" s="6">
        <v>-360</v>
      </c>
      <c r="N14" s="6" t="s">
        <v>113</v>
      </c>
      <c r="O14" s="8" t="str">
        <f t="shared" si="1"/>
        <v>0</v>
      </c>
      <c r="P14" s="8" t="str">
        <f t="shared" si="0"/>
        <v>0,556</v>
      </c>
      <c r="Q14" s="8" t="str">
        <f t="shared" si="0"/>
        <v>0</v>
      </c>
      <c r="R14" s="8">
        <f t="shared" si="2"/>
        <v>0</v>
      </c>
      <c r="S14" s="8" t="str">
        <f t="shared" si="3"/>
        <v>0,556i</v>
      </c>
      <c r="T14" s="8" t="str">
        <f t="shared" si="4"/>
        <v>-1,79856115107914i</v>
      </c>
      <c r="U14" s="8" t="str">
        <f t="shared" si="5"/>
        <v>0</v>
      </c>
    </row>
    <row r="15" spans="1:21">
      <c r="A15">
        <v>0</v>
      </c>
      <c r="B15" s="6">
        <v>9</v>
      </c>
      <c r="C15" s="6">
        <v>11</v>
      </c>
      <c r="D15" s="6">
        <v>0</v>
      </c>
      <c r="E15" s="6" t="s">
        <v>140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1</v>
      </c>
      <c r="M15" s="6">
        <v>-360</v>
      </c>
      <c r="N15" s="6" t="s">
        <v>113</v>
      </c>
      <c r="O15" s="8" t="str">
        <f t="shared" si="1"/>
        <v>0</v>
      </c>
      <c r="P15" s="8" t="str">
        <f t="shared" si="0"/>
        <v>0,208</v>
      </c>
      <c r="Q15" s="8" t="str">
        <f t="shared" si="0"/>
        <v>0</v>
      </c>
      <c r="R15" s="8">
        <f t="shared" si="2"/>
        <v>0</v>
      </c>
      <c r="S15" s="8" t="str">
        <f t="shared" si="3"/>
        <v>0,208i</v>
      </c>
      <c r="T15" s="8" t="str">
        <f t="shared" si="4"/>
        <v>-4,80769230769231i</v>
      </c>
      <c r="U15" s="8" t="str">
        <f t="shared" si="5"/>
        <v>0</v>
      </c>
    </row>
    <row r="16" spans="1:21">
      <c r="A16">
        <v>0</v>
      </c>
      <c r="B16" s="6">
        <v>9</v>
      </c>
      <c r="C16" s="6">
        <v>10</v>
      </c>
      <c r="D16" s="6">
        <v>0</v>
      </c>
      <c r="E16" s="6" t="s">
        <v>144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-360</v>
      </c>
      <c r="N16" s="6" t="s">
        <v>113</v>
      </c>
      <c r="O16" s="8" t="str">
        <f t="shared" si="1"/>
        <v>0</v>
      </c>
      <c r="P16" s="8" t="str">
        <f t="shared" si="0"/>
        <v>0,11</v>
      </c>
      <c r="Q16" s="8" t="str">
        <f t="shared" si="0"/>
        <v>0</v>
      </c>
      <c r="R16" s="8">
        <f t="shared" si="2"/>
        <v>0</v>
      </c>
      <c r="S16" s="8" t="str">
        <f t="shared" si="3"/>
        <v>0,11i</v>
      </c>
      <c r="T16" s="8" t="str">
        <f t="shared" si="4"/>
        <v>-9,09090909090909i</v>
      </c>
      <c r="U16" s="8" t="str">
        <f t="shared" si="5"/>
        <v>0</v>
      </c>
    </row>
    <row r="17" spans="1:21">
      <c r="A17">
        <v>0</v>
      </c>
      <c r="B17" s="6">
        <v>4</v>
      </c>
      <c r="C17" s="6">
        <v>12</v>
      </c>
      <c r="D17" s="6">
        <v>0</v>
      </c>
      <c r="E17" s="6" t="s">
        <v>145</v>
      </c>
      <c r="F17" s="6">
        <v>0</v>
      </c>
      <c r="G17" s="6">
        <v>0</v>
      </c>
      <c r="H17" s="6">
        <v>0</v>
      </c>
      <c r="I17" s="6">
        <v>0</v>
      </c>
      <c r="J17" s="6" t="s">
        <v>146</v>
      </c>
      <c r="K17" s="6">
        <v>0</v>
      </c>
      <c r="L17" s="6">
        <v>1</v>
      </c>
      <c r="M17" s="6">
        <v>-360</v>
      </c>
      <c r="N17" s="6" t="s">
        <v>113</v>
      </c>
      <c r="O17" s="8" t="str">
        <f t="shared" si="1"/>
        <v>0</v>
      </c>
      <c r="P17" s="8" t="str">
        <f t="shared" si="0"/>
        <v>0,256</v>
      </c>
      <c r="Q17" s="8" t="str">
        <f t="shared" si="0"/>
        <v>0</v>
      </c>
      <c r="R17" s="8">
        <f t="shared" si="2"/>
        <v>0</v>
      </c>
      <c r="S17" s="8" t="str">
        <f t="shared" si="3"/>
        <v>0,256i</v>
      </c>
      <c r="T17" s="8" t="str">
        <f t="shared" si="4"/>
        <v>-3,90625i</v>
      </c>
      <c r="U17" s="8" t="str">
        <f t="shared" si="5"/>
        <v>0</v>
      </c>
    </row>
    <row r="18" spans="1:21">
      <c r="A18">
        <v>0</v>
      </c>
      <c r="B18" s="6">
        <v>12</v>
      </c>
      <c r="C18" s="6">
        <v>13</v>
      </c>
      <c r="D18" s="6">
        <v>0</v>
      </c>
      <c r="E18" s="6" t="s">
        <v>147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-360</v>
      </c>
      <c r="N18" s="6" t="s">
        <v>113</v>
      </c>
      <c r="O18" s="8" t="str">
        <f t="shared" si="1"/>
        <v>0</v>
      </c>
      <c r="P18" s="8" t="str">
        <f t="shared" si="0"/>
        <v>0,14</v>
      </c>
      <c r="Q18" s="8" t="str">
        <f t="shared" si="0"/>
        <v>0</v>
      </c>
      <c r="R18" s="8">
        <f t="shared" si="2"/>
        <v>0</v>
      </c>
      <c r="S18" s="8" t="str">
        <f t="shared" si="3"/>
        <v>0,14i</v>
      </c>
      <c r="T18" s="8" t="str">
        <f t="shared" si="4"/>
        <v>-7,14285714285714i</v>
      </c>
      <c r="U18" s="8" t="str">
        <f t="shared" si="5"/>
        <v>0</v>
      </c>
    </row>
    <row r="19" spans="1:21">
      <c r="A19">
        <v>0</v>
      </c>
      <c r="B19" s="6">
        <v>12</v>
      </c>
      <c r="C19" s="6">
        <v>14</v>
      </c>
      <c r="D19" s="6" t="s">
        <v>148</v>
      </c>
      <c r="E19" s="6" t="s">
        <v>149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-360</v>
      </c>
      <c r="N19" s="6" t="s">
        <v>113</v>
      </c>
      <c r="O19" s="8" t="str">
        <f t="shared" si="1"/>
        <v>0,1231</v>
      </c>
      <c r="P19" s="8" t="str">
        <f t="shared" si="1"/>
        <v>0,2559</v>
      </c>
      <c r="Q19" s="8" t="str">
        <f t="shared" si="1"/>
        <v>0</v>
      </c>
      <c r="R19" s="8">
        <f t="shared" si="2"/>
        <v>0</v>
      </c>
      <c r="S19" s="8" t="str">
        <f t="shared" si="3"/>
        <v>0,1231+0,2559i</v>
      </c>
      <c r="T19" s="8" t="str">
        <f t="shared" si="4"/>
        <v>1,52656760883956-3,17342527296542i</v>
      </c>
      <c r="U19" s="8" t="str">
        <f t="shared" si="5"/>
        <v>0</v>
      </c>
    </row>
    <row r="20" spans="1:21">
      <c r="A20">
        <v>0</v>
      </c>
      <c r="B20" s="6">
        <v>12</v>
      </c>
      <c r="C20" s="6">
        <v>15</v>
      </c>
      <c r="D20" s="6" t="s">
        <v>150</v>
      </c>
      <c r="E20" s="6" t="s">
        <v>151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-360</v>
      </c>
      <c r="N20" s="6" t="s">
        <v>113</v>
      </c>
      <c r="O20" s="8" t="str">
        <f t="shared" si="1"/>
        <v>0,0662</v>
      </c>
      <c r="P20" s="8" t="str">
        <f t="shared" si="1"/>
        <v>0,1304</v>
      </c>
      <c r="Q20" s="8" t="str">
        <f t="shared" si="1"/>
        <v>0</v>
      </c>
      <c r="R20" s="8">
        <f t="shared" si="2"/>
        <v>0</v>
      </c>
      <c r="S20" s="8" t="str">
        <f t="shared" si="3"/>
        <v>0,0662+0,1304i</v>
      </c>
      <c r="T20" s="8" t="str">
        <f t="shared" si="4"/>
        <v>3,09539618265643-6,09727586432626i</v>
      </c>
      <c r="U20" s="8" t="str">
        <f t="shared" si="5"/>
        <v>0</v>
      </c>
    </row>
    <row r="21" spans="1:21">
      <c r="A21">
        <v>0</v>
      </c>
      <c r="B21" s="6">
        <v>12</v>
      </c>
      <c r="C21" s="6">
        <v>16</v>
      </c>
      <c r="D21" s="6" t="s">
        <v>152</v>
      </c>
      <c r="E21" s="6" t="s">
        <v>153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1</v>
      </c>
      <c r="M21" s="6">
        <v>-360</v>
      </c>
      <c r="N21" s="6" t="s">
        <v>113</v>
      </c>
      <c r="O21" s="8" t="str">
        <f t="shared" si="1"/>
        <v>0,0945</v>
      </c>
      <c r="P21" s="8" t="str">
        <f t="shared" si="1"/>
        <v>0,1987</v>
      </c>
      <c r="Q21" s="8" t="str">
        <f t="shared" si="1"/>
        <v>0</v>
      </c>
      <c r="R21" s="8">
        <f t="shared" si="2"/>
        <v>0</v>
      </c>
      <c r="S21" s="8" t="str">
        <f t="shared" si="3"/>
        <v>0,0945+0,1987i</v>
      </c>
      <c r="T21" s="8" t="str">
        <f t="shared" si="4"/>
        <v>1,95199779228017-4,10435937911185i</v>
      </c>
      <c r="U21" s="8" t="str">
        <f t="shared" si="5"/>
        <v>0</v>
      </c>
    </row>
    <row r="22" spans="1:21">
      <c r="A22">
        <v>0</v>
      </c>
      <c r="B22" s="6">
        <v>14</v>
      </c>
      <c r="C22" s="6">
        <v>15</v>
      </c>
      <c r="D22" s="6" t="s">
        <v>154</v>
      </c>
      <c r="E22" s="6" t="s">
        <v>155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-360</v>
      </c>
      <c r="N22" s="6" t="s">
        <v>113</v>
      </c>
      <c r="O22" s="8" t="str">
        <f t="shared" si="1"/>
        <v>0,221</v>
      </c>
      <c r="P22" s="8" t="str">
        <f t="shared" si="1"/>
        <v>0,1997</v>
      </c>
      <c r="Q22" s="8" t="str">
        <f t="shared" si="1"/>
        <v>0</v>
      </c>
      <c r="R22" s="8">
        <f t="shared" si="2"/>
        <v>0</v>
      </c>
      <c r="S22" s="8" t="str">
        <f t="shared" si="3"/>
        <v>0,221+0,1997i</v>
      </c>
      <c r="T22" s="8" t="str">
        <f t="shared" si="4"/>
        <v>2,49095226399946-2,25087405936965i</v>
      </c>
      <c r="U22" s="8" t="str">
        <f t="shared" si="5"/>
        <v>0</v>
      </c>
    </row>
    <row r="23" spans="1:21">
      <c r="A23">
        <v>0</v>
      </c>
      <c r="B23" s="6">
        <v>16</v>
      </c>
      <c r="C23" s="6">
        <v>17</v>
      </c>
      <c r="D23" s="6" t="s">
        <v>156</v>
      </c>
      <c r="E23" s="6" t="s">
        <v>157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-360</v>
      </c>
      <c r="N23" s="6" t="s">
        <v>113</v>
      </c>
      <c r="O23" s="8" t="str">
        <f t="shared" si="1"/>
        <v>0,0524</v>
      </c>
      <c r="P23" s="8" t="str">
        <f t="shared" si="1"/>
        <v>0,1923</v>
      </c>
      <c r="Q23" s="8" t="str">
        <f t="shared" si="1"/>
        <v>0</v>
      </c>
      <c r="R23" s="8">
        <f t="shared" si="2"/>
        <v>0</v>
      </c>
      <c r="S23" s="8" t="str">
        <f t="shared" si="3"/>
        <v>0,0524+0,1923i</v>
      </c>
      <c r="T23" s="8" t="str">
        <f t="shared" si="4"/>
        <v>1,31906693635376-4,84077427215321i</v>
      </c>
      <c r="U23" s="8" t="str">
        <f t="shared" si="5"/>
        <v>0</v>
      </c>
    </row>
    <row r="24" spans="1:21">
      <c r="A24">
        <v>0</v>
      </c>
      <c r="B24" s="6">
        <v>15</v>
      </c>
      <c r="C24" s="6">
        <v>18</v>
      </c>
      <c r="D24" s="6" t="s">
        <v>158</v>
      </c>
      <c r="E24" s="6" t="s">
        <v>159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-360</v>
      </c>
      <c r="N24" s="6" t="s">
        <v>113</v>
      </c>
      <c r="O24" s="8" t="str">
        <f t="shared" si="1"/>
        <v>0,1073</v>
      </c>
      <c r="P24" s="8" t="str">
        <f t="shared" si="1"/>
        <v>0,2185</v>
      </c>
      <c r="Q24" s="8" t="str">
        <f t="shared" si="1"/>
        <v>0</v>
      </c>
      <c r="R24" s="8">
        <f t="shared" si="2"/>
        <v>0</v>
      </c>
      <c r="S24" s="8" t="str">
        <f t="shared" si="3"/>
        <v>0,1073+0,2185i</v>
      </c>
      <c r="T24" s="8" t="str">
        <f t="shared" si="4"/>
        <v>1,8108011504072-3,6874189316307i</v>
      </c>
      <c r="U24" s="8" t="str">
        <f t="shared" si="5"/>
        <v>0</v>
      </c>
    </row>
    <row r="25" spans="1:21">
      <c r="A25">
        <v>0</v>
      </c>
      <c r="B25" s="6">
        <v>18</v>
      </c>
      <c r="C25" s="6">
        <v>19</v>
      </c>
      <c r="D25" s="6" t="s">
        <v>160</v>
      </c>
      <c r="E25" s="6" t="s">
        <v>161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-360</v>
      </c>
      <c r="N25" s="6" t="s">
        <v>113</v>
      </c>
      <c r="O25" s="8" t="str">
        <f t="shared" si="1"/>
        <v>0,0639</v>
      </c>
      <c r="P25" s="8" t="str">
        <f t="shared" si="1"/>
        <v>0,1292</v>
      </c>
      <c r="Q25" s="8" t="str">
        <f t="shared" si="1"/>
        <v>0</v>
      </c>
      <c r="R25" s="8">
        <f t="shared" si="2"/>
        <v>0</v>
      </c>
      <c r="S25" s="8" t="str">
        <f t="shared" si="3"/>
        <v>0,0639+0,1292i</v>
      </c>
      <c r="T25" s="8" t="str">
        <f t="shared" si="4"/>
        <v>3,07568643400872-6,21875879927897i</v>
      </c>
      <c r="U25" s="8" t="str">
        <f t="shared" si="5"/>
        <v>0</v>
      </c>
    </row>
    <row r="26" spans="1:21">
      <c r="A26">
        <v>0</v>
      </c>
      <c r="B26" s="6">
        <v>19</v>
      </c>
      <c r="C26" s="6">
        <v>20</v>
      </c>
      <c r="D26" s="6" t="s">
        <v>162</v>
      </c>
      <c r="E26" s="6" t="s">
        <v>163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-360</v>
      </c>
      <c r="N26" s="6" t="s">
        <v>113</v>
      </c>
      <c r="O26" s="8" t="str">
        <f t="shared" si="1"/>
        <v>0,034</v>
      </c>
      <c r="P26" s="8" t="str">
        <f t="shared" si="1"/>
        <v>0,068</v>
      </c>
      <c r="Q26" s="8" t="str">
        <f t="shared" si="1"/>
        <v>0</v>
      </c>
      <c r="R26" s="8">
        <f t="shared" si="2"/>
        <v>0</v>
      </c>
      <c r="S26" s="8" t="str">
        <f t="shared" si="3"/>
        <v>0,034+0,068i</v>
      </c>
      <c r="T26" s="8" t="str">
        <f t="shared" si="4"/>
        <v>5,88235294117647-11,7647058823529i</v>
      </c>
      <c r="U26" s="8" t="str">
        <f t="shared" si="5"/>
        <v>0</v>
      </c>
    </row>
    <row r="27" spans="1:21">
      <c r="A27">
        <v>0</v>
      </c>
      <c r="B27" s="6">
        <v>10</v>
      </c>
      <c r="C27" s="6">
        <v>20</v>
      </c>
      <c r="D27" s="6" t="s">
        <v>164</v>
      </c>
      <c r="E27" s="6" t="s">
        <v>165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</v>
      </c>
      <c r="M27" s="6">
        <v>-360</v>
      </c>
      <c r="N27" s="6" t="s">
        <v>113</v>
      </c>
      <c r="O27" s="8" t="str">
        <f t="shared" si="1"/>
        <v>0,0936</v>
      </c>
      <c r="P27" s="8" t="str">
        <f t="shared" si="1"/>
        <v>0,209</v>
      </c>
      <c r="Q27" s="8" t="str">
        <f t="shared" si="1"/>
        <v>0</v>
      </c>
      <c r="R27" s="8">
        <f t="shared" si="2"/>
        <v>0</v>
      </c>
      <c r="S27" s="8" t="str">
        <f t="shared" si="3"/>
        <v>0,0936+0,209i</v>
      </c>
      <c r="T27" s="8" t="str">
        <f t="shared" si="4"/>
        <v>1,78483031526663-3,98535828943083i</v>
      </c>
      <c r="U27" s="8" t="str">
        <f t="shared" si="5"/>
        <v>0</v>
      </c>
    </row>
    <row r="28" spans="1:21">
      <c r="A28">
        <v>0</v>
      </c>
      <c r="B28" s="6">
        <v>10</v>
      </c>
      <c r="C28" s="6">
        <v>17</v>
      </c>
      <c r="D28" s="6" t="s">
        <v>166</v>
      </c>
      <c r="E28" s="6" t="s">
        <v>167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-360</v>
      </c>
      <c r="N28" s="6" t="s">
        <v>113</v>
      </c>
      <c r="O28" s="8" t="str">
        <f t="shared" si="1"/>
        <v>0,0324</v>
      </c>
      <c r="P28" s="8" t="str">
        <f t="shared" si="1"/>
        <v>0,0845</v>
      </c>
      <c r="Q28" s="8" t="str">
        <f t="shared" si="1"/>
        <v>0</v>
      </c>
      <c r="R28" s="8">
        <f t="shared" si="2"/>
        <v>0</v>
      </c>
      <c r="S28" s="8" t="str">
        <f t="shared" si="3"/>
        <v>0,0324+0,0845i</v>
      </c>
      <c r="T28" s="8" t="str">
        <f t="shared" si="4"/>
        <v>3,95603912571535-10,3174477198441i</v>
      </c>
      <c r="U28" s="8" t="str">
        <f t="shared" si="5"/>
        <v>0</v>
      </c>
    </row>
    <row r="29" spans="1:21">
      <c r="A29">
        <v>0</v>
      </c>
      <c r="B29" s="6">
        <v>10</v>
      </c>
      <c r="C29" s="6">
        <v>21</v>
      </c>
      <c r="D29" s="6" t="s">
        <v>168</v>
      </c>
      <c r="E29" s="6" t="s">
        <v>169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</v>
      </c>
      <c r="M29" s="6">
        <v>-360</v>
      </c>
      <c r="N29" s="6" t="s">
        <v>113</v>
      </c>
      <c r="O29" s="8" t="str">
        <f t="shared" si="1"/>
        <v>0,0348</v>
      </c>
      <c r="P29" s="8" t="str">
        <f t="shared" si="1"/>
        <v>0,0749</v>
      </c>
      <c r="Q29" s="8" t="str">
        <f t="shared" si="1"/>
        <v>0</v>
      </c>
      <c r="R29" s="8">
        <f t="shared" si="2"/>
        <v>0</v>
      </c>
      <c r="S29" s="8" t="str">
        <f t="shared" si="3"/>
        <v>0,0348+0,0749i</v>
      </c>
      <c r="T29" s="8" t="str">
        <f t="shared" si="4"/>
        <v>5,10185382015965-10,9807141129298i</v>
      </c>
      <c r="U29" s="8" t="str">
        <f t="shared" si="5"/>
        <v>0</v>
      </c>
    </row>
    <row r="30" spans="1:21">
      <c r="A30">
        <v>0</v>
      </c>
      <c r="B30" s="6">
        <v>10</v>
      </c>
      <c r="C30" s="6">
        <v>22</v>
      </c>
      <c r="D30" s="6" t="s">
        <v>170</v>
      </c>
      <c r="E30" s="6" t="s">
        <v>171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-360</v>
      </c>
      <c r="N30" s="6" t="s">
        <v>113</v>
      </c>
      <c r="O30" s="8" t="str">
        <f t="shared" si="1"/>
        <v>0,0727</v>
      </c>
      <c r="P30" s="8" t="str">
        <f t="shared" si="1"/>
        <v>0,1499</v>
      </c>
      <c r="Q30" s="8" t="str">
        <f t="shared" si="1"/>
        <v>0</v>
      </c>
      <c r="R30" s="8">
        <f t="shared" si="2"/>
        <v>0</v>
      </c>
      <c r="S30" s="8" t="str">
        <f t="shared" si="3"/>
        <v>0,0727+0,1499i</v>
      </c>
      <c r="T30" s="8" t="str">
        <f t="shared" si="4"/>
        <v>2,6193195533826-5,40077030332945i</v>
      </c>
      <c r="U30" s="8" t="str">
        <f t="shared" si="5"/>
        <v>0</v>
      </c>
    </row>
    <row r="31" spans="1:21">
      <c r="A31">
        <v>0</v>
      </c>
      <c r="B31" s="6">
        <v>21</v>
      </c>
      <c r="C31" s="6">
        <v>22</v>
      </c>
      <c r="D31" s="6" t="s">
        <v>172</v>
      </c>
      <c r="E31" s="6" t="s">
        <v>173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-360</v>
      </c>
      <c r="N31" s="6" t="s">
        <v>113</v>
      </c>
      <c r="O31" s="8" t="str">
        <f t="shared" si="1"/>
        <v>0,0116</v>
      </c>
      <c r="P31" s="8" t="str">
        <f t="shared" si="1"/>
        <v>0,0236</v>
      </c>
      <c r="Q31" s="8" t="str">
        <f t="shared" si="1"/>
        <v>0</v>
      </c>
      <c r="R31" s="8">
        <f t="shared" si="2"/>
        <v>0</v>
      </c>
      <c r="S31" s="8" t="str">
        <f t="shared" si="3"/>
        <v>0,0116+0,0236i</v>
      </c>
      <c r="T31" s="8" t="str">
        <f t="shared" si="4"/>
        <v>16,7746413697362-34,1277186487737i</v>
      </c>
      <c r="U31" s="8" t="str">
        <f t="shared" si="5"/>
        <v>0</v>
      </c>
    </row>
    <row r="32" spans="1:21">
      <c r="A32">
        <v>0</v>
      </c>
      <c r="B32" s="6">
        <v>15</v>
      </c>
      <c r="C32" s="6">
        <v>23</v>
      </c>
      <c r="D32" s="6" t="s">
        <v>174</v>
      </c>
      <c r="E32" s="6" t="s">
        <v>175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1</v>
      </c>
      <c r="M32" s="6">
        <v>-360</v>
      </c>
      <c r="N32" s="6" t="s">
        <v>113</v>
      </c>
      <c r="O32" s="8" t="str">
        <f t="shared" si="1"/>
        <v>0,1</v>
      </c>
      <c r="P32" s="8" t="str">
        <f t="shared" si="1"/>
        <v>0,202</v>
      </c>
      <c r="Q32" s="8" t="str">
        <f t="shared" si="1"/>
        <v>0</v>
      </c>
      <c r="R32" s="8">
        <f t="shared" si="2"/>
        <v>0</v>
      </c>
      <c r="S32" s="8" t="str">
        <f t="shared" si="3"/>
        <v>0,1+0,202i</v>
      </c>
      <c r="T32" s="8" t="str">
        <f t="shared" si="4"/>
        <v>1,96834894890166-3,97606487678136i</v>
      </c>
      <c r="U32" s="8" t="str">
        <f t="shared" si="5"/>
        <v>0</v>
      </c>
    </row>
    <row r="33" spans="1:21">
      <c r="A33">
        <v>0</v>
      </c>
      <c r="B33" s="6">
        <v>22</v>
      </c>
      <c r="C33" s="6">
        <v>24</v>
      </c>
      <c r="D33" s="6" t="s">
        <v>176</v>
      </c>
      <c r="E33" s="6" t="s">
        <v>177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-360</v>
      </c>
      <c r="N33" s="6" t="s">
        <v>113</v>
      </c>
      <c r="O33" s="8" t="str">
        <f t="shared" si="1"/>
        <v>0,115</v>
      </c>
      <c r="P33" s="8" t="str">
        <f t="shared" si="1"/>
        <v>0,179</v>
      </c>
      <c r="Q33" s="8" t="str">
        <f t="shared" si="1"/>
        <v>0</v>
      </c>
      <c r="R33" s="8">
        <f t="shared" si="2"/>
        <v>0</v>
      </c>
      <c r="S33" s="8" t="str">
        <f t="shared" si="3"/>
        <v>0,115+0,179i</v>
      </c>
      <c r="T33" s="8" t="str">
        <f t="shared" si="4"/>
        <v>2,54053815225556-3,95440286307604i</v>
      </c>
      <c r="U33" s="8" t="str">
        <f t="shared" si="5"/>
        <v>0</v>
      </c>
    </row>
    <row r="34" spans="1:21">
      <c r="A34">
        <v>0</v>
      </c>
      <c r="B34" s="6">
        <v>23</v>
      </c>
      <c r="C34" s="6">
        <v>24</v>
      </c>
      <c r="D34" s="6" t="s">
        <v>178</v>
      </c>
      <c r="E34" s="6" t="s">
        <v>179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-360</v>
      </c>
      <c r="N34" s="6" t="s">
        <v>113</v>
      </c>
      <c r="O34" s="8" t="str">
        <f t="shared" si="1"/>
        <v>0,132</v>
      </c>
      <c r="P34" s="8" t="str">
        <f t="shared" si="1"/>
        <v>0,27</v>
      </c>
      <c r="Q34" s="8" t="str">
        <f t="shared" si="1"/>
        <v>0</v>
      </c>
      <c r="R34" s="8">
        <f t="shared" si="2"/>
        <v>0</v>
      </c>
      <c r="S34" s="8" t="str">
        <f t="shared" si="3"/>
        <v>0,132+0,27i</v>
      </c>
      <c r="T34" s="8" t="str">
        <f t="shared" si="4"/>
        <v>1,46140560648333-2,98923874053408i</v>
      </c>
      <c r="U34" s="8" t="str">
        <f t="shared" si="5"/>
        <v>0</v>
      </c>
    </row>
    <row r="35" spans="1:21">
      <c r="A35">
        <v>0</v>
      </c>
      <c r="B35" s="6">
        <v>24</v>
      </c>
      <c r="C35" s="6">
        <v>25</v>
      </c>
      <c r="D35" s="6" t="s">
        <v>180</v>
      </c>
      <c r="E35" s="6" t="s">
        <v>181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-360</v>
      </c>
      <c r="N35" s="6" t="s">
        <v>113</v>
      </c>
      <c r="O35" s="8" t="str">
        <f t="shared" si="1"/>
        <v>0,1885</v>
      </c>
      <c r="P35" s="8" t="str">
        <f t="shared" si="1"/>
        <v>0,3292</v>
      </c>
      <c r="Q35" s="8" t="str">
        <f t="shared" si="1"/>
        <v>0</v>
      </c>
      <c r="R35" s="8">
        <f t="shared" si="2"/>
        <v>0</v>
      </c>
      <c r="S35" s="8" t="str">
        <f t="shared" si="3"/>
        <v>0,1885+0,3292i</v>
      </c>
      <c r="T35" s="8" t="str">
        <f t="shared" si="4"/>
        <v>1,30989294387425-2,28762205370505i</v>
      </c>
      <c r="U35" s="8" t="str">
        <f t="shared" si="5"/>
        <v>0</v>
      </c>
    </row>
    <row r="36" spans="1:21">
      <c r="A36">
        <v>0</v>
      </c>
      <c r="B36" s="6">
        <v>25</v>
      </c>
      <c r="C36" s="6">
        <v>26</v>
      </c>
      <c r="D36" s="6" t="s">
        <v>182</v>
      </c>
      <c r="E36" s="6" t="s">
        <v>183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-360</v>
      </c>
      <c r="N36" s="6" t="s">
        <v>113</v>
      </c>
      <c r="O36" s="8" t="str">
        <f t="shared" si="1"/>
        <v>0,2544</v>
      </c>
      <c r="P36" s="8" t="str">
        <f t="shared" si="1"/>
        <v>0,38</v>
      </c>
      <c r="Q36" s="8" t="str">
        <f t="shared" si="1"/>
        <v>0</v>
      </c>
      <c r="R36" s="8">
        <f t="shared" si="2"/>
        <v>0</v>
      </c>
      <c r="S36" s="8" t="str">
        <f t="shared" si="3"/>
        <v>0,2544+0,38i</v>
      </c>
      <c r="T36" s="8" t="str">
        <f t="shared" si="4"/>
        <v>1,21653011944949-1,8171440463475i</v>
      </c>
      <c r="U36" s="8" t="str">
        <f t="shared" si="5"/>
        <v>0</v>
      </c>
    </row>
    <row r="37" spans="1:21">
      <c r="A37">
        <v>0</v>
      </c>
      <c r="B37" s="6">
        <v>25</v>
      </c>
      <c r="C37" s="6">
        <v>27</v>
      </c>
      <c r="D37" s="6" t="s">
        <v>184</v>
      </c>
      <c r="E37" s="6" t="s">
        <v>185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-360</v>
      </c>
      <c r="N37" s="6" t="s">
        <v>113</v>
      </c>
      <c r="O37" s="8" t="str">
        <f t="shared" si="1"/>
        <v>0,1093</v>
      </c>
      <c r="P37" s="8" t="str">
        <f t="shared" si="1"/>
        <v>0,2087</v>
      </c>
      <c r="Q37" s="8" t="str">
        <f t="shared" si="1"/>
        <v>0</v>
      </c>
      <c r="R37" s="8">
        <f t="shared" si="2"/>
        <v>0</v>
      </c>
      <c r="S37" s="8" t="str">
        <f t="shared" si="3"/>
        <v>0,1093+0,2087i</v>
      </c>
      <c r="T37" s="8" t="str">
        <f t="shared" si="4"/>
        <v>1,96929201699825-3,76021266191706i</v>
      </c>
      <c r="U37" s="8" t="str">
        <f t="shared" si="5"/>
        <v>0</v>
      </c>
    </row>
    <row r="38" spans="1:21">
      <c r="A38">
        <v>0</v>
      </c>
      <c r="B38" s="6">
        <v>28</v>
      </c>
      <c r="C38" s="6">
        <v>27</v>
      </c>
      <c r="D38" s="6">
        <v>0</v>
      </c>
      <c r="E38" s="6" t="s">
        <v>186</v>
      </c>
      <c r="F38" s="6">
        <v>0</v>
      </c>
      <c r="G38" s="6">
        <v>0</v>
      </c>
      <c r="H38" s="6">
        <v>0</v>
      </c>
      <c r="I38" s="6">
        <v>0</v>
      </c>
      <c r="J38" s="6" t="s">
        <v>187</v>
      </c>
      <c r="K38" s="6">
        <v>0</v>
      </c>
      <c r="L38" s="6">
        <v>1</v>
      </c>
      <c r="M38" s="6">
        <v>-360</v>
      </c>
      <c r="N38" s="6" t="s">
        <v>113</v>
      </c>
      <c r="O38" s="8" t="str">
        <f t="shared" si="1"/>
        <v>0</v>
      </c>
      <c r="P38" s="8" t="str">
        <f t="shared" si="1"/>
        <v>0,396</v>
      </c>
      <c r="Q38" s="8" t="str">
        <f t="shared" si="1"/>
        <v>0</v>
      </c>
      <c r="R38" s="8">
        <f t="shared" si="2"/>
        <v>0</v>
      </c>
      <c r="S38" s="8" t="str">
        <f t="shared" si="3"/>
        <v>0,396i</v>
      </c>
      <c r="T38" s="8" t="str">
        <f t="shared" si="4"/>
        <v>-2,52525252525253i</v>
      </c>
      <c r="U38" s="8" t="str">
        <f t="shared" si="5"/>
        <v>0</v>
      </c>
    </row>
    <row r="39" spans="1:21">
      <c r="A39">
        <v>0</v>
      </c>
      <c r="B39" s="6">
        <v>27</v>
      </c>
      <c r="C39" s="6">
        <v>29</v>
      </c>
      <c r="D39" s="6" t="s">
        <v>188</v>
      </c>
      <c r="E39" s="6" t="s">
        <v>189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-360</v>
      </c>
      <c r="N39" s="6" t="s">
        <v>113</v>
      </c>
      <c r="O39" s="8" t="str">
        <f t="shared" si="1"/>
        <v>0,2198</v>
      </c>
      <c r="P39" s="8" t="str">
        <f t="shared" si="1"/>
        <v>0,4153</v>
      </c>
      <c r="Q39" s="8" t="str">
        <f t="shared" si="1"/>
        <v>0</v>
      </c>
      <c r="R39" s="8">
        <f t="shared" si="2"/>
        <v>0</v>
      </c>
      <c r="S39" s="8" t="str">
        <f t="shared" si="3"/>
        <v>0,2198+0,4153i</v>
      </c>
      <c r="T39" s="8" t="str">
        <f t="shared" si="4"/>
        <v>0,99553355095268-1,88100584035782i</v>
      </c>
      <c r="U39" s="8" t="str">
        <f t="shared" si="5"/>
        <v>0</v>
      </c>
    </row>
    <row r="40" spans="1:21">
      <c r="A40">
        <v>0</v>
      </c>
      <c r="B40" s="6">
        <v>27</v>
      </c>
      <c r="C40" s="6">
        <v>30</v>
      </c>
      <c r="D40" s="6" t="s">
        <v>190</v>
      </c>
      <c r="E40" s="6" t="s">
        <v>191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-360</v>
      </c>
      <c r="N40" s="6" t="s">
        <v>113</v>
      </c>
      <c r="O40" s="8" t="str">
        <f t="shared" si="1"/>
        <v>0,3202</v>
      </c>
      <c r="P40" s="8" t="str">
        <f t="shared" si="1"/>
        <v>0,6027</v>
      </c>
      <c r="Q40" s="8" t="str">
        <f t="shared" si="1"/>
        <v>0</v>
      </c>
      <c r="R40" s="8">
        <f t="shared" si="2"/>
        <v>0</v>
      </c>
      <c r="S40" s="8" t="str">
        <f t="shared" si="3"/>
        <v>0,3202+0,6027i</v>
      </c>
      <c r="T40" s="8" t="str">
        <f t="shared" si="4"/>
        <v>0,687455902827657-1,29397149479772i</v>
      </c>
      <c r="U40" s="8" t="str">
        <f t="shared" si="5"/>
        <v>0</v>
      </c>
    </row>
    <row r="41" spans="1:21">
      <c r="A41">
        <v>0</v>
      </c>
      <c r="B41" s="6">
        <v>29</v>
      </c>
      <c r="C41" s="6">
        <v>30</v>
      </c>
      <c r="D41" s="6" t="s">
        <v>192</v>
      </c>
      <c r="E41" s="6" t="s">
        <v>193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-360</v>
      </c>
      <c r="N41" s="6" t="s">
        <v>113</v>
      </c>
      <c r="O41" s="8" t="str">
        <f t="shared" si="1"/>
        <v>0,2399</v>
      </c>
      <c r="P41" s="8" t="str">
        <f t="shared" si="1"/>
        <v>0,4533</v>
      </c>
      <c r="Q41" s="8" t="str">
        <f t="shared" si="1"/>
        <v>0</v>
      </c>
      <c r="R41" s="8">
        <f t="shared" si="2"/>
        <v>0</v>
      </c>
      <c r="S41" s="8" t="str">
        <f t="shared" si="3"/>
        <v>0,2399+0,4533i</v>
      </c>
      <c r="T41" s="8" t="str">
        <f t="shared" si="4"/>
        <v>0,912053207032276-1,72335856084923i</v>
      </c>
      <c r="U41" s="8" t="str">
        <f t="shared" si="5"/>
        <v>0</v>
      </c>
    </row>
    <row r="42" spans="1:21">
      <c r="A42">
        <v>0</v>
      </c>
      <c r="B42" s="6">
        <v>8</v>
      </c>
      <c r="C42" s="6">
        <v>28</v>
      </c>
      <c r="D42" s="6" t="s">
        <v>194</v>
      </c>
      <c r="E42" s="6" t="s">
        <v>195</v>
      </c>
      <c r="F42" s="6" t="s">
        <v>196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-360</v>
      </c>
      <c r="N42" s="6" t="s">
        <v>113</v>
      </c>
      <c r="O42" s="8" t="str">
        <f t="shared" si="1"/>
        <v>0,0636</v>
      </c>
      <c r="P42" s="8" t="str">
        <f t="shared" si="1"/>
        <v>0,2</v>
      </c>
      <c r="Q42" s="8" t="str">
        <f t="shared" si="1"/>
        <v>0,0428</v>
      </c>
      <c r="R42" s="8">
        <f t="shared" si="2"/>
        <v>2.1399999999999999E-2</v>
      </c>
      <c r="S42" s="8" t="str">
        <f t="shared" si="3"/>
        <v>0,0636+0,2i</v>
      </c>
      <c r="T42" s="8" t="str">
        <f t="shared" si="4"/>
        <v>1,44397906139545-4,54081465847625i</v>
      </c>
      <c r="U42" s="8" t="str">
        <f t="shared" si="5"/>
        <v>0,0214i</v>
      </c>
    </row>
    <row r="43" spans="1:21">
      <c r="A43">
        <v>0</v>
      </c>
      <c r="B43" s="6">
        <v>6</v>
      </c>
      <c r="C43" s="6">
        <v>28</v>
      </c>
      <c r="D43" s="6" t="s">
        <v>197</v>
      </c>
      <c r="E43" s="6" t="s">
        <v>198</v>
      </c>
      <c r="F43" s="6" t="s">
        <v>199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6">
        <v>-360</v>
      </c>
      <c r="N43" s="6" t="s">
        <v>113</v>
      </c>
      <c r="O43" s="8" t="str">
        <f t="shared" si="1"/>
        <v>0,0169</v>
      </c>
      <c r="P43" s="8" t="str">
        <f t="shared" si="1"/>
        <v>0,0599</v>
      </c>
      <c r="Q43" s="8" t="str">
        <f t="shared" si="1"/>
        <v>0,013</v>
      </c>
      <c r="R43" s="8">
        <f t="shared" si="2"/>
        <v>6.4999999999999997E-3</v>
      </c>
      <c r="S43" s="8" t="str">
        <f t="shared" si="3"/>
        <v>0,0169+0,0599i</v>
      </c>
      <c r="T43" s="8" t="str">
        <f t="shared" si="4"/>
        <v>4,36284405801292-15,4635715428979i</v>
      </c>
      <c r="U43" s="8" t="str">
        <f t="shared" si="5"/>
        <v>0,0065i</v>
      </c>
    </row>
  </sheetData>
  <mergeCells count="1">
    <mergeCell ref="B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0D76-3484-44F7-845F-F6DDAA884A05}">
  <dimension ref="B2:J9"/>
  <sheetViews>
    <sheetView workbookViewId="0">
      <selection activeCell="F13" sqref="F13"/>
    </sheetView>
  </sheetViews>
  <sheetFormatPr baseColWidth="10" defaultColWidth="11.3984375" defaultRowHeight="13.8"/>
  <sheetData>
    <row r="2" spans="2:10">
      <c r="B2" s="189" t="s">
        <v>200</v>
      </c>
      <c r="C2" s="189"/>
      <c r="D2" s="189"/>
      <c r="E2" s="189"/>
      <c r="F2" s="189"/>
      <c r="G2" s="189"/>
      <c r="H2" s="189"/>
      <c r="I2" s="189"/>
      <c r="J2" s="189"/>
    </row>
    <row r="3" spans="2:10">
      <c r="B3" s="1" t="s">
        <v>6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  <c r="H3" s="1" t="s">
        <v>206</v>
      </c>
      <c r="I3" s="1" t="s">
        <v>100</v>
      </c>
      <c r="J3" s="1" t="s">
        <v>207</v>
      </c>
    </row>
    <row r="4" spans="2:10">
      <c r="B4" s="1">
        <v>1</v>
      </c>
      <c r="C4" s="1" t="s">
        <v>208</v>
      </c>
      <c r="D4" s="1" t="s">
        <v>209</v>
      </c>
      <c r="E4" s="1">
        <v>10</v>
      </c>
      <c r="F4" s="1">
        <v>0</v>
      </c>
      <c r="G4" s="1" t="s">
        <v>24</v>
      </c>
      <c r="H4" s="1">
        <v>100</v>
      </c>
      <c r="I4" s="1">
        <v>1</v>
      </c>
      <c r="J4" s="1" t="s">
        <v>210</v>
      </c>
    </row>
    <row r="5" spans="2:10">
      <c r="B5" s="1">
        <v>2</v>
      </c>
      <c r="C5" s="1">
        <v>40</v>
      </c>
      <c r="D5" s="1">
        <v>50</v>
      </c>
      <c r="E5" s="1">
        <v>50</v>
      </c>
      <c r="F5" s="1">
        <v>-40</v>
      </c>
      <c r="G5" s="2">
        <v>1045</v>
      </c>
      <c r="H5" s="1">
        <v>100</v>
      </c>
      <c r="I5" s="1">
        <v>1</v>
      </c>
      <c r="J5" s="1">
        <v>140</v>
      </c>
    </row>
    <row r="6" spans="2:10">
      <c r="B6" s="1">
        <v>5</v>
      </c>
      <c r="C6" s="1">
        <v>0</v>
      </c>
      <c r="D6" s="1">
        <v>37</v>
      </c>
      <c r="E6" s="1">
        <v>40</v>
      </c>
      <c r="F6" s="1">
        <v>-40</v>
      </c>
      <c r="G6" s="1" t="s">
        <v>38</v>
      </c>
      <c r="H6" s="1">
        <v>100</v>
      </c>
      <c r="I6" s="1">
        <v>1</v>
      </c>
      <c r="J6" s="1">
        <v>100</v>
      </c>
    </row>
    <row r="7" spans="2:10">
      <c r="B7" s="1">
        <v>8</v>
      </c>
      <c r="C7" s="1">
        <v>0</v>
      </c>
      <c r="D7" s="1" t="s">
        <v>211</v>
      </c>
      <c r="E7" s="1">
        <v>40</v>
      </c>
      <c r="F7" s="1">
        <v>-10</v>
      </c>
      <c r="G7" s="1" t="s">
        <v>38</v>
      </c>
      <c r="H7" s="1">
        <v>100</v>
      </c>
      <c r="I7" s="1">
        <v>1</v>
      </c>
      <c r="J7" s="1">
        <v>100</v>
      </c>
    </row>
    <row r="8" spans="2:10">
      <c r="B8" s="1">
        <v>11</v>
      </c>
      <c r="C8" s="1">
        <v>0</v>
      </c>
      <c r="D8" s="1" t="s">
        <v>212</v>
      </c>
      <c r="E8" s="1">
        <v>24</v>
      </c>
      <c r="F8" s="1">
        <v>-6</v>
      </c>
      <c r="G8" s="2">
        <v>1082</v>
      </c>
      <c r="H8" s="1">
        <v>100</v>
      </c>
      <c r="I8" s="1">
        <v>1</v>
      </c>
      <c r="J8" s="1">
        <v>100</v>
      </c>
    </row>
    <row r="9" spans="2:10">
      <c r="B9" s="1">
        <v>13</v>
      </c>
      <c r="C9" s="1">
        <v>0</v>
      </c>
      <c r="D9" s="1" t="s">
        <v>85</v>
      </c>
      <c r="E9" s="1">
        <v>24</v>
      </c>
      <c r="F9" s="1">
        <v>-6</v>
      </c>
      <c r="G9" s="2">
        <v>1071</v>
      </c>
      <c r="H9" s="1">
        <v>100</v>
      </c>
      <c r="I9" s="1">
        <v>1</v>
      </c>
      <c r="J9" s="1">
        <v>100</v>
      </c>
    </row>
  </sheetData>
  <mergeCells count="1"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44AA-B253-499C-B7CC-EB7745D018E1}">
  <dimension ref="B1:Q30"/>
  <sheetViews>
    <sheetView zoomScale="80" zoomScaleNormal="80" workbookViewId="0">
      <selection activeCell="B1" sqref="B1"/>
    </sheetView>
  </sheetViews>
  <sheetFormatPr baseColWidth="10" defaultColWidth="11.3984375" defaultRowHeight="13.8"/>
  <cols>
    <col min="3" max="10" width="0" hidden="1" customWidth="1"/>
  </cols>
  <sheetData>
    <row r="1" spans="2:17">
      <c r="B1" s="1">
        <v>1</v>
      </c>
      <c r="C1" s="1">
        <v>3</v>
      </c>
      <c r="D1" s="1">
        <v>0</v>
      </c>
      <c r="E1" s="1">
        <v>0</v>
      </c>
      <c r="F1" s="1">
        <v>0</v>
      </c>
      <c r="G1" s="1">
        <v>0</v>
      </c>
      <c r="H1" s="1">
        <v>1</v>
      </c>
      <c r="I1" s="1" t="s">
        <v>24</v>
      </c>
      <c r="J1" s="1">
        <v>0</v>
      </c>
      <c r="K1" s="1">
        <v>132</v>
      </c>
      <c r="L1" s="1">
        <v>1</v>
      </c>
      <c r="M1" s="1" t="s">
        <v>24</v>
      </c>
      <c r="N1" s="1" t="s">
        <v>25</v>
      </c>
      <c r="P1">
        <v>1</v>
      </c>
      <c r="Q1" t="str">
        <f>SUBSTITUTE(I1,".",",")</f>
        <v>1,06</v>
      </c>
    </row>
    <row r="2" spans="2:17">
      <c r="B2" s="1">
        <v>2</v>
      </c>
      <c r="C2" s="1">
        <v>2</v>
      </c>
      <c r="D2" s="1" t="s">
        <v>27</v>
      </c>
      <c r="E2" s="1" t="s">
        <v>28</v>
      </c>
      <c r="F2" s="1">
        <v>0</v>
      </c>
      <c r="G2" s="1">
        <v>0</v>
      </c>
      <c r="H2" s="1">
        <v>1</v>
      </c>
      <c r="I2" s="2">
        <v>1043</v>
      </c>
      <c r="J2" s="1" t="s">
        <v>29</v>
      </c>
      <c r="K2" s="1">
        <v>132</v>
      </c>
      <c r="L2" s="1">
        <v>1</v>
      </c>
      <c r="M2" s="1" t="s">
        <v>24</v>
      </c>
      <c r="N2" s="1" t="s">
        <v>25</v>
      </c>
      <c r="P2">
        <v>2</v>
      </c>
      <c r="Q2">
        <v>1.0429999999999999</v>
      </c>
    </row>
    <row r="3" spans="2:17">
      <c r="B3" s="1">
        <v>3</v>
      </c>
      <c r="C3" s="1">
        <v>1</v>
      </c>
      <c r="D3" s="1" t="s">
        <v>31</v>
      </c>
      <c r="E3" s="1" t="s">
        <v>32</v>
      </c>
      <c r="F3" s="1">
        <v>0</v>
      </c>
      <c r="G3" s="1">
        <v>0</v>
      </c>
      <c r="H3" s="1">
        <v>1</v>
      </c>
      <c r="I3" s="2">
        <v>1021</v>
      </c>
      <c r="J3" s="1" t="s">
        <v>33</v>
      </c>
      <c r="K3" s="1">
        <v>132</v>
      </c>
      <c r="L3" s="1">
        <v>1</v>
      </c>
      <c r="M3" s="1" t="s">
        <v>24</v>
      </c>
      <c r="N3" s="1" t="s">
        <v>25</v>
      </c>
      <c r="P3">
        <v>3</v>
      </c>
      <c r="Q3">
        <v>1.0429999999999999</v>
      </c>
    </row>
    <row r="4" spans="2:17">
      <c r="B4" s="1">
        <v>4</v>
      </c>
      <c r="C4" s="1">
        <v>1</v>
      </c>
      <c r="D4" s="1" t="s">
        <v>34</v>
      </c>
      <c r="E4" s="1" t="s">
        <v>35</v>
      </c>
      <c r="F4" s="1">
        <v>0</v>
      </c>
      <c r="G4" s="1">
        <v>0</v>
      </c>
      <c r="H4" s="1">
        <v>1</v>
      </c>
      <c r="I4" s="2">
        <v>1012</v>
      </c>
      <c r="J4" s="1" t="s">
        <v>36</v>
      </c>
      <c r="K4" s="1">
        <v>132</v>
      </c>
      <c r="L4" s="1">
        <v>1</v>
      </c>
      <c r="M4" s="1" t="s">
        <v>24</v>
      </c>
      <c r="N4" s="1" t="s">
        <v>25</v>
      </c>
      <c r="P4">
        <v>4</v>
      </c>
      <c r="Q4">
        <v>1.0209999999999999</v>
      </c>
    </row>
    <row r="5" spans="2:17">
      <c r="B5" s="1">
        <v>5</v>
      </c>
      <c r="C5" s="1">
        <v>2</v>
      </c>
      <c r="D5" s="1" t="s">
        <v>37</v>
      </c>
      <c r="E5" s="1">
        <v>19</v>
      </c>
      <c r="F5" s="1">
        <v>0</v>
      </c>
      <c r="G5" s="1">
        <v>0</v>
      </c>
      <c r="H5" s="1">
        <v>1</v>
      </c>
      <c r="I5" s="1" t="s">
        <v>38</v>
      </c>
      <c r="J5" s="1" t="s">
        <v>39</v>
      </c>
      <c r="K5" s="1">
        <v>132</v>
      </c>
      <c r="L5" s="1">
        <v>1</v>
      </c>
      <c r="M5" s="1" t="s">
        <v>24</v>
      </c>
      <c r="N5" s="1" t="s">
        <v>25</v>
      </c>
      <c r="P5">
        <v>5</v>
      </c>
      <c r="Q5">
        <v>1.01</v>
      </c>
    </row>
    <row r="6" spans="2:17">
      <c r="B6" s="1">
        <v>6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 t="s">
        <v>38</v>
      </c>
      <c r="J6" s="1" t="s">
        <v>40</v>
      </c>
      <c r="K6" s="1">
        <v>132</v>
      </c>
      <c r="L6" s="1">
        <v>1</v>
      </c>
      <c r="M6" s="1" t="s">
        <v>24</v>
      </c>
      <c r="N6" s="1" t="s">
        <v>25</v>
      </c>
      <c r="P6">
        <v>6</v>
      </c>
      <c r="Q6">
        <v>1.01</v>
      </c>
    </row>
    <row r="7" spans="2:17">
      <c r="B7" s="1">
        <v>7</v>
      </c>
      <c r="C7" s="1">
        <v>1</v>
      </c>
      <c r="D7" s="1" t="s">
        <v>41</v>
      </c>
      <c r="E7" s="1" t="s">
        <v>42</v>
      </c>
      <c r="F7" s="1">
        <v>0</v>
      </c>
      <c r="G7" s="1">
        <v>0</v>
      </c>
      <c r="H7" s="1">
        <v>1</v>
      </c>
      <c r="I7" s="2">
        <v>1002</v>
      </c>
      <c r="J7" s="1" t="s">
        <v>43</v>
      </c>
      <c r="K7" s="1">
        <v>132</v>
      </c>
      <c r="L7" s="1">
        <v>1</v>
      </c>
      <c r="M7" s="1" t="s">
        <v>24</v>
      </c>
      <c r="N7" s="1" t="s">
        <v>25</v>
      </c>
      <c r="P7">
        <v>7</v>
      </c>
      <c r="Q7">
        <v>1.002</v>
      </c>
    </row>
    <row r="8" spans="2:17">
      <c r="B8" s="1">
        <v>8</v>
      </c>
      <c r="C8" s="1">
        <v>2</v>
      </c>
      <c r="D8" s="1">
        <v>30</v>
      </c>
      <c r="E8" s="1">
        <v>30</v>
      </c>
      <c r="F8" s="1">
        <v>0</v>
      </c>
      <c r="G8" s="1">
        <v>0</v>
      </c>
      <c r="H8" s="1">
        <v>1</v>
      </c>
      <c r="I8" s="1" t="s">
        <v>38</v>
      </c>
      <c r="J8" s="1" t="s">
        <v>44</v>
      </c>
      <c r="K8" s="1">
        <v>132</v>
      </c>
      <c r="L8" s="1">
        <v>1</v>
      </c>
      <c r="M8" s="1" t="s">
        <v>24</v>
      </c>
      <c r="N8" s="1" t="s">
        <v>25</v>
      </c>
      <c r="P8">
        <v>8</v>
      </c>
      <c r="Q8">
        <v>1.01</v>
      </c>
    </row>
    <row r="9" spans="2:17">
      <c r="B9" s="1">
        <v>9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2">
        <v>1051</v>
      </c>
      <c r="J9" s="1" t="s">
        <v>45</v>
      </c>
      <c r="K9" s="1">
        <v>1</v>
      </c>
      <c r="L9" s="1">
        <v>1</v>
      </c>
      <c r="M9" s="1" t="s">
        <v>24</v>
      </c>
      <c r="N9" s="1" t="s">
        <v>25</v>
      </c>
      <c r="P9">
        <v>9</v>
      </c>
      <c r="Q9">
        <v>1.0509999999999999</v>
      </c>
    </row>
    <row r="10" spans="2:17">
      <c r="B10" s="1">
        <v>10</v>
      </c>
      <c r="C10" s="1">
        <v>1</v>
      </c>
      <c r="D10" s="1" t="s">
        <v>46</v>
      </c>
      <c r="E10" s="1">
        <v>2</v>
      </c>
      <c r="F10" s="1">
        <v>0</v>
      </c>
      <c r="G10" s="1">
        <v>19</v>
      </c>
      <c r="H10" s="1">
        <v>1</v>
      </c>
      <c r="I10" s="2">
        <v>1045</v>
      </c>
      <c r="J10" s="1" t="s">
        <v>47</v>
      </c>
      <c r="K10" s="1">
        <v>33</v>
      </c>
      <c r="L10" s="1">
        <v>1</v>
      </c>
      <c r="M10" s="1" t="s">
        <v>24</v>
      </c>
      <c r="N10" s="1" t="s">
        <v>25</v>
      </c>
      <c r="P10">
        <v>10</v>
      </c>
      <c r="Q10">
        <v>1.0449999999999999</v>
      </c>
    </row>
    <row r="11" spans="2:17">
      <c r="B11" s="1">
        <v>11</v>
      </c>
      <c r="C11" s="1">
        <v>2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2">
        <v>1082</v>
      </c>
      <c r="J11" s="1" t="s">
        <v>48</v>
      </c>
      <c r="K11" s="1">
        <v>11</v>
      </c>
      <c r="L11" s="1">
        <v>1</v>
      </c>
      <c r="M11" s="1" t="s">
        <v>24</v>
      </c>
      <c r="N11" s="1" t="s">
        <v>25</v>
      </c>
      <c r="P11">
        <v>11</v>
      </c>
      <c r="Q11">
        <v>1.0820000000000001</v>
      </c>
    </row>
    <row r="12" spans="2:17">
      <c r="B12" s="1">
        <v>12</v>
      </c>
      <c r="C12" s="1">
        <v>1</v>
      </c>
      <c r="D12" s="1" t="s">
        <v>49</v>
      </c>
      <c r="E12" s="1" t="s">
        <v>50</v>
      </c>
      <c r="F12" s="1">
        <v>0</v>
      </c>
      <c r="G12" s="1">
        <v>0</v>
      </c>
      <c r="H12" s="1">
        <v>1</v>
      </c>
      <c r="I12" s="2">
        <v>1057</v>
      </c>
      <c r="J12" s="1" t="s">
        <v>51</v>
      </c>
      <c r="K12" s="1">
        <v>33</v>
      </c>
      <c r="L12" s="1">
        <v>1</v>
      </c>
      <c r="M12" s="1" t="s">
        <v>24</v>
      </c>
      <c r="N12" s="1" t="s">
        <v>25</v>
      </c>
      <c r="P12">
        <v>12</v>
      </c>
      <c r="Q12">
        <v>1.0569999999999999</v>
      </c>
    </row>
    <row r="13" spans="2:17">
      <c r="B13" s="1">
        <v>13</v>
      </c>
      <c r="C13" s="1">
        <v>2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2">
        <v>1071</v>
      </c>
      <c r="J13" s="1" t="s">
        <v>51</v>
      </c>
      <c r="K13" s="1">
        <v>11</v>
      </c>
      <c r="L13" s="1">
        <v>1</v>
      </c>
      <c r="M13" s="1" t="s">
        <v>24</v>
      </c>
      <c r="N13" s="1" t="s">
        <v>25</v>
      </c>
      <c r="P13">
        <v>13</v>
      </c>
      <c r="Q13">
        <v>1.071</v>
      </c>
    </row>
    <row r="14" spans="2:17">
      <c r="B14" s="1">
        <v>14</v>
      </c>
      <c r="C14" s="1">
        <v>1</v>
      </c>
      <c r="D14" s="1" t="s">
        <v>52</v>
      </c>
      <c r="E14" s="1" t="s">
        <v>35</v>
      </c>
      <c r="F14" s="1">
        <v>0</v>
      </c>
      <c r="G14" s="1">
        <v>0</v>
      </c>
      <c r="H14" s="1">
        <v>1</v>
      </c>
      <c r="I14" s="2">
        <v>1042</v>
      </c>
      <c r="J14" s="1" t="s">
        <v>53</v>
      </c>
      <c r="K14" s="1">
        <v>33</v>
      </c>
      <c r="L14" s="1">
        <v>1</v>
      </c>
      <c r="M14" s="1" t="s">
        <v>24</v>
      </c>
      <c r="N14" s="1" t="s">
        <v>25</v>
      </c>
      <c r="P14">
        <v>14</v>
      </c>
      <c r="Q14">
        <v>1.042</v>
      </c>
    </row>
    <row r="15" spans="2:17">
      <c r="B15" s="1">
        <v>15</v>
      </c>
      <c r="C15" s="1">
        <v>1</v>
      </c>
      <c r="D15" s="1" t="s">
        <v>54</v>
      </c>
      <c r="E15" s="1" t="s">
        <v>55</v>
      </c>
      <c r="F15" s="1">
        <v>0</v>
      </c>
      <c r="G15" s="1">
        <v>0</v>
      </c>
      <c r="H15" s="1">
        <v>1</v>
      </c>
      <c r="I15" s="2">
        <v>1038</v>
      </c>
      <c r="J15" s="1" t="s">
        <v>56</v>
      </c>
      <c r="K15" s="1">
        <v>33</v>
      </c>
      <c r="L15" s="1">
        <v>1</v>
      </c>
      <c r="M15" s="1" t="s">
        <v>24</v>
      </c>
      <c r="N15" s="1" t="s">
        <v>25</v>
      </c>
      <c r="P15">
        <v>15</v>
      </c>
      <c r="Q15">
        <v>1.038</v>
      </c>
    </row>
    <row r="16" spans="2:17">
      <c r="B16" s="1">
        <v>16</v>
      </c>
      <c r="C16" s="1">
        <v>1</v>
      </c>
      <c r="D16" s="1" t="s">
        <v>57</v>
      </c>
      <c r="E16" s="1" t="s">
        <v>58</v>
      </c>
      <c r="F16" s="1">
        <v>0</v>
      </c>
      <c r="G16" s="1">
        <v>0</v>
      </c>
      <c r="H16" s="1">
        <v>1</v>
      </c>
      <c r="I16" s="2">
        <v>1045</v>
      </c>
      <c r="J16" s="1" t="s">
        <v>59</v>
      </c>
      <c r="K16" s="1">
        <v>33</v>
      </c>
      <c r="L16" s="1">
        <v>1</v>
      </c>
      <c r="M16" s="1" t="s">
        <v>24</v>
      </c>
      <c r="N16" s="1" t="s">
        <v>25</v>
      </c>
      <c r="P16">
        <v>16</v>
      </c>
      <c r="Q16">
        <v>1.0449999999999999</v>
      </c>
    </row>
    <row r="17" spans="2:17">
      <c r="B17" s="1">
        <v>17</v>
      </c>
      <c r="C17" s="1">
        <v>1</v>
      </c>
      <c r="D17" s="1">
        <v>9</v>
      </c>
      <c r="E17" s="1" t="s">
        <v>46</v>
      </c>
      <c r="F17" s="1">
        <v>0</v>
      </c>
      <c r="G17" s="1">
        <v>0</v>
      </c>
      <c r="H17" s="1">
        <v>1</v>
      </c>
      <c r="I17" s="1" t="s">
        <v>60</v>
      </c>
      <c r="J17" s="1" t="s">
        <v>61</v>
      </c>
      <c r="K17" s="1">
        <v>33</v>
      </c>
      <c r="L17" s="1">
        <v>1</v>
      </c>
      <c r="M17" s="1" t="s">
        <v>24</v>
      </c>
      <c r="N17" s="1" t="s">
        <v>25</v>
      </c>
      <c r="P17">
        <v>17</v>
      </c>
      <c r="Q17">
        <v>1.04</v>
      </c>
    </row>
    <row r="18" spans="2:17">
      <c r="B18" s="1">
        <v>18</v>
      </c>
      <c r="C18" s="1">
        <v>1</v>
      </c>
      <c r="D18" s="1" t="s">
        <v>62</v>
      </c>
      <c r="E18" s="1" t="s">
        <v>63</v>
      </c>
      <c r="F18" s="1">
        <v>0</v>
      </c>
      <c r="G18" s="1">
        <v>0</v>
      </c>
      <c r="H18" s="1">
        <v>1</v>
      </c>
      <c r="I18" s="2">
        <v>1028</v>
      </c>
      <c r="J18" s="1" t="s">
        <v>64</v>
      </c>
      <c r="K18" s="1">
        <v>33</v>
      </c>
      <c r="L18" s="1">
        <v>1</v>
      </c>
      <c r="M18" s="1" t="s">
        <v>24</v>
      </c>
      <c r="N18" s="1" t="s">
        <v>25</v>
      </c>
      <c r="P18">
        <v>18</v>
      </c>
      <c r="Q18">
        <v>1.028</v>
      </c>
    </row>
    <row r="19" spans="2:17">
      <c r="B19" s="1">
        <v>19</v>
      </c>
      <c r="C19" s="1">
        <v>1</v>
      </c>
      <c r="D19" s="1" t="s">
        <v>65</v>
      </c>
      <c r="E19" s="1" t="s">
        <v>66</v>
      </c>
      <c r="F19" s="1">
        <v>0</v>
      </c>
      <c r="G19" s="1">
        <v>0</v>
      </c>
      <c r="H19" s="1">
        <v>1</v>
      </c>
      <c r="I19" s="2">
        <v>1026</v>
      </c>
      <c r="J19" s="1">
        <v>-17</v>
      </c>
      <c r="K19" s="1">
        <v>33</v>
      </c>
      <c r="L19" s="1">
        <v>1</v>
      </c>
      <c r="M19" s="1" t="s">
        <v>24</v>
      </c>
      <c r="N19" s="1" t="s">
        <v>25</v>
      </c>
      <c r="P19">
        <v>19</v>
      </c>
      <c r="Q19">
        <v>1.026</v>
      </c>
    </row>
    <row r="20" spans="2:17">
      <c r="B20" s="1">
        <v>20</v>
      </c>
      <c r="C20" s="1">
        <v>1</v>
      </c>
      <c r="D20" s="1" t="s">
        <v>67</v>
      </c>
      <c r="E20" s="1" t="s">
        <v>68</v>
      </c>
      <c r="F20" s="1">
        <v>0</v>
      </c>
      <c r="G20" s="1">
        <v>0</v>
      </c>
      <c r="H20" s="1">
        <v>1</v>
      </c>
      <c r="I20" s="1" t="s">
        <v>69</v>
      </c>
      <c r="J20" s="1" t="s">
        <v>70</v>
      </c>
      <c r="K20" s="1">
        <v>33</v>
      </c>
      <c r="L20" s="1">
        <v>1</v>
      </c>
      <c r="M20" s="1" t="s">
        <v>24</v>
      </c>
      <c r="N20" s="1" t="s">
        <v>25</v>
      </c>
      <c r="P20">
        <v>20</v>
      </c>
      <c r="Q20">
        <v>1.03</v>
      </c>
    </row>
    <row r="21" spans="2:17">
      <c r="B21" s="1">
        <v>21</v>
      </c>
      <c r="C21" s="1">
        <v>1</v>
      </c>
      <c r="D21" s="1" t="s">
        <v>71</v>
      </c>
      <c r="E21" s="1" t="s">
        <v>49</v>
      </c>
      <c r="F21" s="1">
        <v>0</v>
      </c>
      <c r="G21" s="1">
        <v>0</v>
      </c>
      <c r="H21" s="1">
        <v>1</v>
      </c>
      <c r="I21" s="2">
        <v>1033</v>
      </c>
      <c r="J21" s="1" t="s">
        <v>72</v>
      </c>
      <c r="K21" s="1">
        <v>33</v>
      </c>
      <c r="L21" s="1">
        <v>1</v>
      </c>
      <c r="M21" s="1" t="s">
        <v>24</v>
      </c>
      <c r="N21" s="1" t="s">
        <v>25</v>
      </c>
      <c r="P21">
        <v>21</v>
      </c>
      <c r="Q21">
        <v>1.0329999999999999</v>
      </c>
    </row>
    <row r="22" spans="2:17">
      <c r="B22" s="1">
        <v>22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2">
        <v>1033</v>
      </c>
      <c r="J22" s="1" t="s">
        <v>73</v>
      </c>
      <c r="K22" s="1">
        <v>33</v>
      </c>
      <c r="L22" s="1">
        <v>1</v>
      </c>
      <c r="M22" s="1" t="s">
        <v>24</v>
      </c>
      <c r="N22" s="1" t="s">
        <v>25</v>
      </c>
      <c r="P22">
        <v>22</v>
      </c>
      <c r="Q22">
        <v>1.0329999999999999</v>
      </c>
    </row>
    <row r="23" spans="2:17">
      <c r="B23" s="1">
        <v>23</v>
      </c>
      <c r="C23" s="1">
        <v>1</v>
      </c>
      <c r="D23" s="1" t="s">
        <v>62</v>
      </c>
      <c r="E23" s="1" t="s">
        <v>35</v>
      </c>
      <c r="F23" s="1">
        <v>0</v>
      </c>
      <c r="G23" s="1">
        <v>0</v>
      </c>
      <c r="H23" s="1">
        <v>1</v>
      </c>
      <c r="I23" s="2">
        <v>1027</v>
      </c>
      <c r="J23" s="1" t="s">
        <v>74</v>
      </c>
      <c r="K23" s="1">
        <v>33</v>
      </c>
      <c r="L23" s="1">
        <v>1</v>
      </c>
      <c r="M23" s="1" t="s">
        <v>24</v>
      </c>
      <c r="N23" s="1" t="s">
        <v>25</v>
      </c>
      <c r="P23">
        <v>23</v>
      </c>
      <c r="Q23">
        <v>1.0269999999999999</v>
      </c>
    </row>
    <row r="24" spans="2:17">
      <c r="B24" s="1">
        <v>24</v>
      </c>
      <c r="C24" s="1">
        <v>1</v>
      </c>
      <c r="D24" s="1" t="s">
        <v>75</v>
      </c>
      <c r="E24" s="1" t="s">
        <v>76</v>
      </c>
      <c r="F24" s="1">
        <v>0</v>
      </c>
      <c r="G24" s="1" t="s">
        <v>77</v>
      </c>
      <c r="H24" s="1">
        <v>1</v>
      </c>
      <c r="I24" s="2">
        <v>1021</v>
      </c>
      <c r="J24" s="1" t="s">
        <v>78</v>
      </c>
      <c r="K24" s="1">
        <v>33</v>
      </c>
      <c r="L24" s="1">
        <v>1</v>
      </c>
      <c r="M24" s="1" t="s">
        <v>24</v>
      </c>
      <c r="N24" s="1" t="s">
        <v>25</v>
      </c>
      <c r="P24">
        <v>24</v>
      </c>
      <c r="Q24">
        <v>1.0209999999999999</v>
      </c>
    </row>
    <row r="25" spans="2:17">
      <c r="B25" s="1">
        <v>25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2">
        <v>1017</v>
      </c>
      <c r="J25" s="1" t="s">
        <v>79</v>
      </c>
      <c r="K25" s="1">
        <v>33</v>
      </c>
      <c r="L25" s="1">
        <v>1</v>
      </c>
      <c r="M25" s="1" t="s">
        <v>24</v>
      </c>
      <c r="N25" s="1" t="s">
        <v>25</v>
      </c>
      <c r="P25">
        <v>25</v>
      </c>
      <c r="Q25">
        <v>1.0169999999999999</v>
      </c>
    </row>
    <row r="26" spans="2:17">
      <c r="B26" s="1">
        <v>26</v>
      </c>
      <c r="C26" s="1">
        <v>1</v>
      </c>
      <c r="D26" s="1" t="s">
        <v>57</v>
      </c>
      <c r="E26" s="1" t="s">
        <v>80</v>
      </c>
      <c r="F26" s="1">
        <v>0</v>
      </c>
      <c r="G26" s="1">
        <v>0</v>
      </c>
      <c r="H26" s="1">
        <v>1</v>
      </c>
      <c r="I26" s="1">
        <v>1</v>
      </c>
      <c r="J26" s="1" t="s">
        <v>81</v>
      </c>
      <c r="K26" s="1">
        <v>33</v>
      </c>
      <c r="L26" s="1">
        <v>1</v>
      </c>
      <c r="M26" s="1" t="s">
        <v>24</v>
      </c>
      <c r="N26" s="1" t="s">
        <v>25</v>
      </c>
      <c r="P26">
        <v>26</v>
      </c>
      <c r="Q26">
        <v>1</v>
      </c>
    </row>
    <row r="27" spans="2:17">
      <c r="B27" s="1">
        <v>27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2">
        <v>1023</v>
      </c>
      <c r="J27" s="1" t="s">
        <v>82</v>
      </c>
      <c r="K27" s="1">
        <v>33</v>
      </c>
      <c r="L27" s="1">
        <v>1</v>
      </c>
      <c r="M27" s="1" t="s">
        <v>24</v>
      </c>
      <c r="N27" s="1" t="s">
        <v>25</v>
      </c>
      <c r="P27">
        <v>27</v>
      </c>
      <c r="Q27">
        <v>1.0229999999999999</v>
      </c>
    </row>
    <row r="28" spans="2:17">
      <c r="B28" s="1">
        <v>28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2">
        <v>1007</v>
      </c>
      <c r="J28" s="1" t="s">
        <v>83</v>
      </c>
      <c r="K28" s="1">
        <v>132</v>
      </c>
      <c r="L28" s="1">
        <v>1</v>
      </c>
      <c r="M28" s="1" t="s">
        <v>24</v>
      </c>
      <c r="N28" s="1" t="s">
        <v>25</v>
      </c>
      <c r="P28">
        <v>28</v>
      </c>
      <c r="Q28">
        <v>1.0069999999999999</v>
      </c>
    </row>
    <row r="29" spans="2:17">
      <c r="B29" s="1">
        <v>29</v>
      </c>
      <c r="C29" s="1">
        <v>1</v>
      </c>
      <c r="D29" s="1" t="s">
        <v>31</v>
      </c>
      <c r="E29" s="1" t="s">
        <v>63</v>
      </c>
      <c r="F29" s="1">
        <v>0</v>
      </c>
      <c r="G29" s="1">
        <v>0</v>
      </c>
      <c r="H29" s="1">
        <v>1</v>
      </c>
      <c r="I29" s="2">
        <v>1003</v>
      </c>
      <c r="J29" s="1" t="s">
        <v>84</v>
      </c>
      <c r="K29" s="1">
        <v>33</v>
      </c>
      <c r="L29" s="1">
        <v>1</v>
      </c>
      <c r="M29" s="1" t="s">
        <v>24</v>
      </c>
      <c r="N29" s="1" t="s">
        <v>25</v>
      </c>
      <c r="P29">
        <v>29</v>
      </c>
      <c r="Q29">
        <v>1.0029999999999999</v>
      </c>
    </row>
    <row r="30" spans="2:17">
      <c r="B30" s="1">
        <v>30</v>
      </c>
      <c r="C30" s="1">
        <v>1</v>
      </c>
      <c r="D30" s="1" t="s">
        <v>85</v>
      </c>
      <c r="E30" s="1" t="s">
        <v>86</v>
      </c>
      <c r="F30" s="1">
        <v>0</v>
      </c>
      <c r="G30" s="1">
        <v>0</v>
      </c>
      <c r="H30" s="1">
        <v>1</v>
      </c>
      <c r="I30" s="1" t="s">
        <v>87</v>
      </c>
      <c r="J30" s="1" t="s">
        <v>88</v>
      </c>
      <c r="K30" s="1">
        <v>33</v>
      </c>
      <c r="L30" s="1">
        <v>1</v>
      </c>
      <c r="M30" s="1" t="s">
        <v>24</v>
      </c>
      <c r="N30" s="1" t="s">
        <v>25</v>
      </c>
      <c r="P30">
        <v>30</v>
      </c>
      <c r="Q30">
        <v>0.99199999999999999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2AB-AEF3-4EE0-931B-7EE77E41A131}">
  <dimension ref="B2:U43"/>
  <sheetViews>
    <sheetView topLeftCell="H1" zoomScale="85" zoomScaleNormal="85" workbookViewId="0">
      <selection activeCell="W11" sqref="W11"/>
    </sheetView>
  </sheetViews>
  <sheetFormatPr baseColWidth="10" defaultColWidth="11.3984375" defaultRowHeight="13.8"/>
  <cols>
    <col min="14" max="14" width="10.3984375" customWidth="1"/>
    <col min="15" max="16" width="6" customWidth="1"/>
    <col min="17" max="17" width="7" customWidth="1"/>
    <col min="18" max="18" width="7.8984375" customWidth="1"/>
    <col min="19" max="19" width="9" customWidth="1"/>
    <col min="20" max="20" width="8.69921875" customWidth="1"/>
    <col min="21" max="21" width="8.296875" customWidth="1"/>
  </cols>
  <sheetData>
    <row r="2" spans="2:21" ht="14.4">
      <c r="B2" s="68"/>
      <c r="C2" s="190" t="s">
        <v>213</v>
      </c>
      <c r="D2" s="190"/>
      <c r="E2" s="190"/>
      <c r="F2" s="190"/>
      <c r="G2" s="190"/>
      <c r="H2" s="190"/>
      <c r="I2" s="190"/>
      <c r="J2" s="190"/>
      <c r="K2" s="190"/>
      <c r="L2" s="190"/>
      <c r="P2" s="8" t="s">
        <v>8</v>
      </c>
      <c r="Q2" s="8" t="s">
        <v>214</v>
      </c>
      <c r="R2" s="8" t="s">
        <v>215</v>
      </c>
      <c r="S2" s="8" t="s">
        <v>216</v>
      </c>
      <c r="T2" s="8" t="s">
        <v>217</v>
      </c>
      <c r="U2" s="8" t="s">
        <v>216</v>
      </c>
    </row>
    <row r="3" spans="2:21" ht="15.6">
      <c r="C3" s="8" t="s">
        <v>8</v>
      </c>
      <c r="D3" s="8" t="s">
        <v>214</v>
      </c>
      <c r="E3" s="8" t="s">
        <v>218</v>
      </c>
      <c r="F3" s="8" t="s">
        <v>219</v>
      </c>
      <c r="G3" s="8" t="s">
        <v>220</v>
      </c>
      <c r="H3" s="8" t="s">
        <v>221</v>
      </c>
      <c r="I3" s="8" t="s">
        <v>222</v>
      </c>
      <c r="J3" s="8" t="s">
        <v>223</v>
      </c>
      <c r="K3" s="8" t="s">
        <v>224</v>
      </c>
      <c r="L3" s="8" t="s">
        <v>225</v>
      </c>
      <c r="O3" s="70">
        <v>1</v>
      </c>
      <c r="P3" s="8" t="s">
        <v>226</v>
      </c>
      <c r="Q3" s="8" t="s">
        <v>227</v>
      </c>
      <c r="R3" s="8">
        <v>5.2130000000000001</v>
      </c>
      <c r="S3" s="69">
        <v>-0.29687999999999998</v>
      </c>
      <c r="T3" s="8">
        <v>15.61</v>
      </c>
      <c r="U3" s="69">
        <v>-0.23064000000000001</v>
      </c>
    </row>
    <row r="4" spans="2:21" ht="15.6">
      <c r="C4" s="8">
        <v>1</v>
      </c>
      <c r="D4" s="8" t="s">
        <v>23</v>
      </c>
      <c r="E4" s="8">
        <v>1.06</v>
      </c>
      <c r="F4" s="8">
        <v>0</v>
      </c>
      <c r="G4" s="8">
        <v>260.2</v>
      </c>
      <c r="H4" s="8">
        <v>-20.417999999999999</v>
      </c>
      <c r="I4" s="8">
        <v>0</v>
      </c>
      <c r="J4" s="8">
        <v>0</v>
      </c>
      <c r="K4" s="8">
        <f>G4-I4</f>
        <v>260.2</v>
      </c>
      <c r="L4" s="8">
        <f>H4-J4</f>
        <v>-20.417999999999999</v>
      </c>
      <c r="O4" s="70">
        <v>2</v>
      </c>
      <c r="P4" s="8" t="s">
        <v>226</v>
      </c>
      <c r="Q4" s="8" t="s">
        <v>228</v>
      </c>
      <c r="R4" s="8">
        <v>3.1080000000000001</v>
      </c>
      <c r="S4" s="69">
        <v>-0.17699999999999999</v>
      </c>
      <c r="T4" s="8">
        <v>11.36</v>
      </c>
      <c r="U4" s="69">
        <v>-0.16785</v>
      </c>
    </row>
    <row r="5" spans="2:21" ht="15.6">
      <c r="C5" s="8">
        <v>2</v>
      </c>
      <c r="D5" s="8" t="s">
        <v>26</v>
      </c>
      <c r="E5" s="8">
        <v>1.0449999999999999</v>
      </c>
      <c r="F5" s="8">
        <v>-5.3781999999999996</v>
      </c>
      <c r="G5" s="8">
        <v>40</v>
      </c>
      <c r="H5" s="8">
        <v>56.069000000000003</v>
      </c>
      <c r="I5" s="8">
        <v>21.7</v>
      </c>
      <c r="J5" s="8">
        <v>12.7</v>
      </c>
      <c r="K5" s="8">
        <f t="shared" ref="K5:K33" si="0">G5-I5</f>
        <v>18.3</v>
      </c>
      <c r="L5" s="8">
        <f t="shared" ref="L5:L33" si="1">H5-J5</f>
        <v>43.369</v>
      </c>
      <c r="O5" s="70">
        <v>3</v>
      </c>
      <c r="P5" s="8" t="s">
        <v>226</v>
      </c>
      <c r="Q5" s="8" t="s">
        <v>229</v>
      </c>
      <c r="R5" s="8">
        <v>2.9430000000000001</v>
      </c>
      <c r="S5" s="69">
        <v>-0.16761000000000001</v>
      </c>
      <c r="T5" s="8">
        <v>12.36</v>
      </c>
      <c r="U5" s="69">
        <v>-0.18262</v>
      </c>
    </row>
    <row r="6" spans="2:21" ht="15.6">
      <c r="C6" s="8">
        <v>3</v>
      </c>
      <c r="D6" s="8" t="s">
        <v>30</v>
      </c>
      <c r="E6" s="8">
        <v>1.0212000000000001</v>
      </c>
      <c r="F6" s="8">
        <v>-7.5286999999999997</v>
      </c>
      <c r="G6" s="8">
        <v>0</v>
      </c>
      <c r="H6" s="8">
        <v>0</v>
      </c>
      <c r="I6" s="8">
        <v>2.4</v>
      </c>
      <c r="J6" s="8">
        <v>1.2</v>
      </c>
      <c r="K6" s="8">
        <f t="shared" si="0"/>
        <v>-2.4</v>
      </c>
      <c r="L6" s="8">
        <f t="shared" si="1"/>
        <v>-1.2</v>
      </c>
      <c r="O6" s="70">
        <v>4</v>
      </c>
      <c r="P6" s="8" t="s">
        <v>226</v>
      </c>
      <c r="Q6" s="8" t="s">
        <v>230</v>
      </c>
      <c r="R6" s="8">
        <v>1.946</v>
      </c>
      <c r="S6" s="69">
        <v>-0.11083</v>
      </c>
      <c r="T6" s="8">
        <v>5.9</v>
      </c>
      <c r="U6" s="69">
        <v>-8.7169999999999997E-2</v>
      </c>
    </row>
    <row r="7" spans="2:21" ht="15.6">
      <c r="C7" s="8">
        <v>4</v>
      </c>
      <c r="D7" s="8" t="s">
        <v>30</v>
      </c>
      <c r="E7" s="8">
        <v>1.0123</v>
      </c>
      <c r="F7" s="8">
        <v>-9.2794000000000008</v>
      </c>
      <c r="G7" s="8">
        <v>0</v>
      </c>
      <c r="H7" s="8">
        <v>0</v>
      </c>
      <c r="I7" s="8">
        <v>7.6</v>
      </c>
      <c r="J7" s="8">
        <v>1.6</v>
      </c>
      <c r="K7" s="8">
        <f t="shared" si="0"/>
        <v>-7.6</v>
      </c>
      <c r="L7" s="8">
        <f t="shared" si="1"/>
        <v>-1.6</v>
      </c>
      <c r="O7" s="70">
        <v>5</v>
      </c>
      <c r="P7" s="8" t="s">
        <v>226</v>
      </c>
      <c r="Q7" s="8" t="s">
        <v>231</v>
      </c>
      <c r="R7" s="8">
        <v>1.018</v>
      </c>
      <c r="S7" s="69">
        <v>-5.7979999999999997E-2</v>
      </c>
      <c r="T7" s="8">
        <v>3.1</v>
      </c>
      <c r="U7" s="69">
        <v>-4.58E-2</v>
      </c>
    </row>
    <row r="8" spans="2:21" ht="15.6">
      <c r="C8" s="8">
        <v>5</v>
      </c>
      <c r="D8" s="8" t="s">
        <v>26</v>
      </c>
      <c r="E8" s="8">
        <v>1.01</v>
      </c>
      <c r="F8" s="8">
        <v>-14.1488</v>
      </c>
      <c r="G8" s="8">
        <v>0</v>
      </c>
      <c r="H8" s="8">
        <v>35.658999999999999</v>
      </c>
      <c r="I8" s="8">
        <v>94.2</v>
      </c>
      <c r="J8" s="8">
        <v>19</v>
      </c>
      <c r="K8" s="8">
        <f t="shared" si="0"/>
        <v>-94.2</v>
      </c>
      <c r="L8" s="8">
        <f t="shared" si="1"/>
        <v>16.658999999999999</v>
      </c>
      <c r="O8" s="70">
        <v>6</v>
      </c>
      <c r="P8" s="8" t="s">
        <v>226</v>
      </c>
      <c r="Q8" s="8" t="s">
        <v>232</v>
      </c>
      <c r="R8" s="8">
        <v>0.85599999999999998</v>
      </c>
      <c r="S8" s="69">
        <v>-4.8750000000000002E-2</v>
      </c>
      <c r="T8" s="8">
        <v>2.46</v>
      </c>
      <c r="U8" s="69">
        <v>-3.635E-2</v>
      </c>
    </row>
    <row r="9" spans="2:21" ht="15.6">
      <c r="C9" s="8">
        <v>6</v>
      </c>
      <c r="D9" s="8" t="s">
        <v>30</v>
      </c>
      <c r="E9" s="8">
        <v>1.0105999999999999</v>
      </c>
      <c r="F9" s="8">
        <v>-11.055</v>
      </c>
      <c r="G9" s="8">
        <v>0</v>
      </c>
      <c r="H9" s="8">
        <v>0</v>
      </c>
      <c r="I9" s="8">
        <v>0</v>
      </c>
      <c r="J9" s="8">
        <v>0</v>
      </c>
      <c r="K9" s="8">
        <f t="shared" si="0"/>
        <v>0</v>
      </c>
      <c r="L9" s="8">
        <f t="shared" si="1"/>
        <v>0</v>
      </c>
      <c r="O9" s="70">
        <v>7</v>
      </c>
      <c r="P9" s="8" t="s">
        <v>226</v>
      </c>
      <c r="Q9" s="8" t="s">
        <v>233</v>
      </c>
      <c r="R9" s="8">
        <v>0.63200000000000001</v>
      </c>
      <c r="S9" s="69">
        <v>-3.5990000000000001E-2</v>
      </c>
      <c r="T9" s="8">
        <v>2.2000000000000002</v>
      </c>
      <c r="U9" s="69">
        <v>-3.2509999999999997E-2</v>
      </c>
    </row>
    <row r="10" spans="2:21" ht="15.6">
      <c r="C10" s="8">
        <v>7</v>
      </c>
      <c r="D10" s="8" t="s">
        <v>30</v>
      </c>
      <c r="E10" s="8">
        <v>1.0025999999999999</v>
      </c>
      <c r="F10" s="8">
        <v>-12.8523</v>
      </c>
      <c r="G10" s="8">
        <v>0</v>
      </c>
      <c r="H10" s="8">
        <v>0</v>
      </c>
      <c r="I10" s="8">
        <v>22.8</v>
      </c>
      <c r="J10" s="8">
        <v>10.9</v>
      </c>
      <c r="K10" s="8">
        <f t="shared" si="0"/>
        <v>-22.8</v>
      </c>
      <c r="L10" s="8">
        <f t="shared" si="1"/>
        <v>-10.9</v>
      </c>
      <c r="O10" s="70">
        <v>8</v>
      </c>
      <c r="P10" s="8" t="s">
        <v>226</v>
      </c>
      <c r="Q10" s="8" t="s">
        <v>234</v>
      </c>
      <c r="R10" s="8">
        <v>0.38100000000000001</v>
      </c>
      <c r="S10" s="69">
        <v>-2.1700000000000001E-2</v>
      </c>
      <c r="T10" s="8">
        <v>1.17</v>
      </c>
      <c r="U10" s="69">
        <v>-1.729E-2</v>
      </c>
    </row>
    <row r="11" spans="2:21" ht="15.6">
      <c r="C11" s="8">
        <v>8</v>
      </c>
      <c r="D11" s="8" t="s">
        <v>26</v>
      </c>
      <c r="E11" s="8">
        <v>1.01</v>
      </c>
      <c r="F11" s="8">
        <v>-11.7974</v>
      </c>
      <c r="G11" s="8">
        <v>0</v>
      </c>
      <c r="H11" s="8">
        <v>36.110999999999997</v>
      </c>
      <c r="I11" s="8">
        <v>30</v>
      </c>
      <c r="J11" s="8">
        <v>30</v>
      </c>
      <c r="K11" s="8">
        <f t="shared" si="0"/>
        <v>-30</v>
      </c>
      <c r="L11" s="8">
        <f t="shared" si="1"/>
        <v>6.1109999999999971</v>
      </c>
      <c r="O11" s="70">
        <v>9</v>
      </c>
      <c r="P11" s="8" t="s">
        <v>226</v>
      </c>
      <c r="Q11" s="8" t="s">
        <v>235</v>
      </c>
      <c r="R11" s="8">
        <v>0.217</v>
      </c>
      <c r="S11" s="69">
        <v>-1.2359999999999999E-2</v>
      </c>
      <c r="T11" s="8">
        <v>0.43</v>
      </c>
      <c r="U11" s="69">
        <v>-6.3499999999999997E-3</v>
      </c>
    </row>
    <row r="12" spans="2:21" ht="15.6">
      <c r="C12" s="8">
        <v>9</v>
      </c>
      <c r="D12" s="8" t="s">
        <v>30</v>
      </c>
      <c r="E12" s="8">
        <v>1.0510999999999999</v>
      </c>
      <c r="F12" s="8">
        <v>-14.098000000000001</v>
      </c>
      <c r="G12" s="8">
        <v>0</v>
      </c>
      <c r="H12" s="8">
        <v>0</v>
      </c>
      <c r="I12" s="8">
        <v>0</v>
      </c>
      <c r="J12" s="8">
        <v>0</v>
      </c>
      <c r="K12" s="8">
        <f t="shared" si="0"/>
        <v>0</v>
      </c>
      <c r="L12" s="8">
        <f t="shared" si="1"/>
        <v>0</v>
      </c>
      <c r="O12" s="70">
        <v>10</v>
      </c>
      <c r="P12" s="8" t="s">
        <v>226</v>
      </c>
      <c r="Q12" s="8" t="s">
        <v>236</v>
      </c>
      <c r="R12" s="8">
        <v>0.16900000000000001</v>
      </c>
      <c r="S12" s="69">
        <v>-9.6200000000000001E-3</v>
      </c>
      <c r="T12" s="8">
        <v>0.43</v>
      </c>
      <c r="U12" s="69">
        <v>-6.3499999999999997E-3</v>
      </c>
    </row>
    <row r="13" spans="2:21" ht="15.6">
      <c r="C13" s="8">
        <v>10</v>
      </c>
      <c r="D13" s="8" t="s">
        <v>30</v>
      </c>
      <c r="E13" s="8">
        <v>1.0454000000000001</v>
      </c>
      <c r="F13" s="8">
        <v>-15.6882</v>
      </c>
      <c r="G13" s="8">
        <v>0</v>
      </c>
      <c r="H13" s="8">
        <v>0</v>
      </c>
      <c r="I13" s="8">
        <v>5.8</v>
      </c>
      <c r="J13" s="8">
        <v>2</v>
      </c>
      <c r="K13" s="8">
        <f t="shared" si="0"/>
        <v>-5.8</v>
      </c>
      <c r="L13" s="8">
        <f t="shared" si="1"/>
        <v>-2</v>
      </c>
      <c r="O13" s="70">
        <v>11</v>
      </c>
      <c r="P13" s="8" t="s">
        <v>226</v>
      </c>
      <c r="Q13" s="8" t="s">
        <v>237</v>
      </c>
      <c r="R13" s="8">
        <v>0.16200000000000001</v>
      </c>
      <c r="S13" s="69">
        <v>-9.2300000000000004E-3</v>
      </c>
      <c r="T13" s="8">
        <v>0.31</v>
      </c>
      <c r="U13" s="69">
        <v>-4.5799999999999999E-3</v>
      </c>
    </row>
    <row r="14" spans="2:21" ht="15.6">
      <c r="C14" s="8">
        <v>11</v>
      </c>
      <c r="D14" s="8" t="s">
        <v>26</v>
      </c>
      <c r="E14" s="8">
        <v>1.0820000000000001</v>
      </c>
      <c r="F14" s="8">
        <v>-14.098000000000001</v>
      </c>
      <c r="G14" s="8">
        <v>0</v>
      </c>
      <c r="H14" s="8">
        <v>16.056999999999999</v>
      </c>
      <c r="I14" s="8">
        <v>0</v>
      </c>
      <c r="J14" s="8">
        <v>0</v>
      </c>
      <c r="K14" s="8">
        <f t="shared" si="0"/>
        <v>0</v>
      </c>
      <c r="L14" s="8">
        <f t="shared" si="1"/>
        <v>16.056999999999999</v>
      </c>
      <c r="O14" s="70">
        <v>12</v>
      </c>
      <c r="P14" s="8" t="s">
        <v>226</v>
      </c>
      <c r="Q14" s="8" t="s">
        <v>238</v>
      </c>
      <c r="R14" s="8">
        <v>0.111</v>
      </c>
      <c r="S14" s="69">
        <v>-6.3200000000000001E-3</v>
      </c>
      <c r="T14" s="8">
        <v>0.24</v>
      </c>
      <c r="U14" s="69">
        <v>-3.5500000000000002E-3</v>
      </c>
    </row>
    <row r="15" spans="2:21" ht="15.6">
      <c r="C15" s="8">
        <v>12</v>
      </c>
      <c r="D15" s="8" t="s">
        <v>30</v>
      </c>
      <c r="E15" s="8">
        <v>1.0572999999999999</v>
      </c>
      <c r="F15" s="8">
        <v>-14.9329</v>
      </c>
      <c r="G15" s="8">
        <v>0</v>
      </c>
      <c r="H15" s="8">
        <v>0</v>
      </c>
      <c r="I15" s="8">
        <v>11.2</v>
      </c>
      <c r="J15" s="8">
        <v>7.5</v>
      </c>
      <c r="K15" s="8">
        <f t="shared" si="0"/>
        <v>-11.2</v>
      </c>
      <c r="L15" s="8">
        <f t="shared" si="1"/>
        <v>-7.5</v>
      </c>
      <c r="O15" s="70">
        <v>13</v>
      </c>
      <c r="P15" s="8" t="s">
        <v>226</v>
      </c>
      <c r="Q15" s="8" t="s">
        <v>239</v>
      </c>
      <c r="R15" s="8">
        <v>0.108</v>
      </c>
      <c r="S15" s="69">
        <v>-6.1500000000000001E-3</v>
      </c>
      <c r="T15" s="8">
        <v>0.38</v>
      </c>
      <c r="U15" s="69">
        <v>-5.6100000000000004E-3</v>
      </c>
    </row>
    <row r="16" spans="2:21" ht="15.6">
      <c r="C16" s="8">
        <v>13</v>
      </c>
      <c r="D16" s="8" t="s">
        <v>26</v>
      </c>
      <c r="E16" s="8">
        <v>1.071</v>
      </c>
      <c r="F16" s="8">
        <v>-14.9329</v>
      </c>
      <c r="G16" s="8">
        <v>0</v>
      </c>
      <c r="H16" s="8">
        <v>10.451000000000001</v>
      </c>
      <c r="I16" s="8">
        <v>0</v>
      </c>
      <c r="J16" s="8">
        <v>0</v>
      </c>
      <c r="K16" s="8">
        <f t="shared" si="0"/>
        <v>0</v>
      </c>
      <c r="L16" s="8">
        <f t="shared" si="1"/>
        <v>10.451000000000001</v>
      </c>
      <c r="O16" s="70">
        <v>14</v>
      </c>
      <c r="P16" s="8" t="s">
        <v>226</v>
      </c>
      <c r="Q16" s="8" t="s">
        <v>240</v>
      </c>
      <c r="R16" s="8">
        <v>8.5999999999999993E-2</v>
      </c>
      <c r="S16" s="69">
        <v>-4.8999999999999998E-3</v>
      </c>
      <c r="T16" s="8">
        <v>0.16</v>
      </c>
      <c r="U16" s="69">
        <v>-2.3600000000000001E-3</v>
      </c>
    </row>
    <row r="17" spans="3:21" ht="15.6">
      <c r="C17" s="8">
        <v>14</v>
      </c>
      <c r="D17" s="8" t="s">
        <v>30</v>
      </c>
      <c r="E17" s="8">
        <v>1.0425</v>
      </c>
      <c r="F17" s="8">
        <v>-15.8245</v>
      </c>
      <c r="G17" s="8">
        <v>0</v>
      </c>
      <c r="H17" s="8">
        <v>0</v>
      </c>
      <c r="I17" s="8">
        <v>6.2</v>
      </c>
      <c r="J17" s="8">
        <v>1.6</v>
      </c>
      <c r="K17" s="8">
        <f t="shared" si="0"/>
        <v>-6.2</v>
      </c>
      <c r="L17" s="8">
        <f t="shared" si="1"/>
        <v>-1.6</v>
      </c>
      <c r="O17" s="70">
        <v>15</v>
      </c>
      <c r="P17" s="8" t="s">
        <v>226</v>
      </c>
      <c r="Q17" s="8" t="s">
        <v>241</v>
      </c>
      <c r="R17" s="8">
        <v>0</v>
      </c>
      <c r="S17" s="69">
        <v>0</v>
      </c>
      <c r="T17" s="8">
        <v>4.6900000000000004</v>
      </c>
      <c r="U17" s="69">
        <v>-6.93E-2</v>
      </c>
    </row>
    <row r="18" spans="3:21" ht="15.6">
      <c r="C18" s="8">
        <v>15</v>
      </c>
      <c r="D18" s="8" t="s">
        <v>30</v>
      </c>
      <c r="E18" s="8">
        <v>1.0379</v>
      </c>
      <c r="F18" s="8">
        <v>-15.916399999999999</v>
      </c>
      <c r="G18" s="8">
        <v>0</v>
      </c>
      <c r="H18" s="8">
        <v>0</v>
      </c>
      <c r="I18" s="8">
        <v>8.1999999999999993</v>
      </c>
      <c r="J18" s="8">
        <v>2.5</v>
      </c>
      <c r="K18" s="8">
        <f t="shared" si="0"/>
        <v>-8.1999999999999993</v>
      </c>
      <c r="L18" s="8">
        <f t="shared" si="1"/>
        <v>-2.5</v>
      </c>
      <c r="O18" s="70">
        <v>16</v>
      </c>
      <c r="P18" s="8" t="s">
        <v>226</v>
      </c>
      <c r="Q18" s="8" t="s">
        <v>242</v>
      </c>
      <c r="R18" s="8">
        <v>0.16200000000000001</v>
      </c>
      <c r="S18" s="69">
        <v>-9.2300000000000004E-3</v>
      </c>
      <c r="T18" s="8">
        <v>0.31</v>
      </c>
      <c r="U18" s="69">
        <v>-4.5799999999999999E-3</v>
      </c>
    </row>
    <row r="19" spans="3:21" ht="15.6">
      <c r="C19" s="8">
        <v>16</v>
      </c>
      <c r="D19" s="8" t="s">
        <v>30</v>
      </c>
      <c r="E19" s="8">
        <v>1.0446</v>
      </c>
      <c r="F19" s="8">
        <v>-15.5154</v>
      </c>
      <c r="G19" s="8">
        <v>0</v>
      </c>
      <c r="H19" s="8">
        <v>0</v>
      </c>
      <c r="I19" s="8">
        <v>3.5</v>
      </c>
      <c r="J19" s="8">
        <v>1.8</v>
      </c>
      <c r="K19" s="8">
        <f t="shared" si="0"/>
        <v>-3.5</v>
      </c>
      <c r="L19" s="8">
        <f t="shared" si="1"/>
        <v>-1.8</v>
      </c>
      <c r="O19" s="70">
        <v>17</v>
      </c>
      <c r="P19" s="8" t="s">
        <v>226</v>
      </c>
      <c r="Q19" s="8" t="s">
        <v>243</v>
      </c>
      <c r="R19" s="8">
        <v>8.2000000000000003E-2</v>
      </c>
      <c r="S19" s="69">
        <v>-4.6699999999999997E-3</v>
      </c>
      <c r="T19" s="8">
        <v>0.18</v>
      </c>
      <c r="U19" s="69">
        <v>-2.66E-3</v>
      </c>
    </row>
    <row r="20" spans="3:21" ht="15.6">
      <c r="C20" s="8">
        <v>17</v>
      </c>
      <c r="D20" s="8" t="s">
        <v>30</v>
      </c>
      <c r="E20" s="8">
        <v>1.0402</v>
      </c>
      <c r="F20" s="8">
        <v>-15.8499</v>
      </c>
      <c r="G20" s="8">
        <v>0</v>
      </c>
      <c r="H20" s="8">
        <v>0</v>
      </c>
      <c r="I20" s="8">
        <v>9</v>
      </c>
      <c r="J20" s="8">
        <v>5.8</v>
      </c>
      <c r="K20" s="8">
        <f t="shared" si="0"/>
        <v>-9</v>
      </c>
      <c r="L20" s="8">
        <f t="shared" si="1"/>
        <v>-5.8</v>
      </c>
      <c r="O20" s="70">
        <v>18</v>
      </c>
      <c r="P20" s="8" t="s">
        <v>226</v>
      </c>
      <c r="Q20" s="8" t="s">
        <v>244</v>
      </c>
      <c r="R20" s="8">
        <v>8.5999999999999993E-2</v>
      </c>
      <c r="S20" s="69">
        <v>-4.8999999999999998E-3</v>
      </c>
      <c r="T20" s="8">
        <v>0.16</v>
      </c>
      <c r="U20" s="69">
        <v>-2.3600000000000001E-3</v>
      </c>
    </row>
    <row r="21" spans="3:21" ht="15.6">
      <c r="C21" s="8">
        <v>18</v>
      </c>
      <c r="D21" s="8" t="s">
        <v>30</v>
      </c>
      <c r="E21" s="8">
        <v>1.0284</v>
      </c>
      <c r="F21" s="8">
        <v>-16.530200000000001</v>
      </c>
      <c r="G21" s="8">
        <v>0</v>
      </c>
      <c r="H21" s="8">
        <v>0</v>
      </c>
      <c r="I21" s="8">
        <v>3.2</v>
      </c>
      <c r="J21" s="8">
        <v>0.9</v>
      </c>
      <c r="K21" s="8">
        <f t="shared" si="0"/>
        <v>-3.2</v>
      </c>
      <c r="L21" s="8">
        <f t="shared" si="1"/>
        <v>-0.9</v>
      </c>
      <c r="O21" s="70">
        <v>19</v>
      </c>
      <c r="P21" s="8" t="s">
        <v>226</v>
      </c>
      <c r="Q21" s="8" t="s">
        <v>245</v>
      </c>
      <c r="R21" s="8">
        <v>4.4999999999999998E-2</v>
      </c>
      <c r="S21" s="69">
        <v>-2.5600000000000002E-3</v>
      </c>
      <c r="T21" s="8">
        <v>7.0000000000000007E-2</v>
      </c>
      <c r="U21" s="69">
        <v>-1.0300000000000001E-3</v>
      </c>
    </row>
    <row r="22" spans="3:21" ht="15.6">
      <c r="C22" s="8">
        <v>19</v>
      </c>
      <c r="D22" s="8" t="s">
        <v>30</v>
      </c>
      <c r="E22" s="8">
        <v>1.0259</v>
      </c>
      <c r="F22" s="8">
        <v>-16.703700000000001</v>
      </c>
      <c r="G22" s="8">
        <v>0</v>
      </c>
      <c r="H22" s="8">
        <v>0</v>
      </c>
      <c r="I22" s="8">
        <v>9.5</v>
      </c>
      <c r="J22" s="8">
        <v>3.4</v>
      </c>
      <c r="K22" s="8">
        <f t="shared" si="0"/>
        <v>-9.5</v>
      </c>
      <c r="L22" s="8">
        <f t="shared" si="1"/>
        <v>-3.4</v>
      </c>
      <c r="O22" s="70">
        <v>20</v>
      </c>
      <c r="P22" s="8" t="s">
        <v>226</v>
      </c>
      <c r="Q22" s="8" t="s">
        <v>246</v>
      </c>
      <c r="R22" s="8">
        <v>4.5999999999999999E-2</v>
      </c>
      <c r="S22" s="69">
        <v>-2.6199999999999999E-3</v>
      </c>
      <c r="T22" s="8">
        <v>7.0000000000000007E-2</v>
      </c>
      <c r="U22" s="69">
        <v>-1.0300000000000001E-3</v>
      </c>
    </row>
    <row r="23" spans="3:21" ht="15.6">
      <c r="C23" s="8">
        <v>20</v>
      </c>
      <c r="D23" s="8" t="s">
        <v>30</v>
      </c>
      <c r="E23" s="8">
        <v>1.03</v>
      </c>
      <c r="F23" s="8">
        <v>-16.507200000000001</v>
      </c>
      <c r="G23" s="8">
        <v>0</v>
      </c>
      <c r="H23" s="8">
        <v>0</v>
      </c>
      <c r="I23" s="8">
        <v>2.2000000000000002</v>
      </c>
      <c r="J23" s="8">
        <v>0.7</v>
      </c>
      <c r="K23" s="8">
        <f t="shared" si="0"/>
        <v>-2.2000000000000002</v>
      </c>
      <c r="L23" s="8">
        <f t="shared" si="1"/>
        <v>-0.7</v>
      </c>
      <c r="O23" s="70">
        <v>21</v>
      </c>
      <c r="P23" s="8" t="s">
        <v>226</v>
      </c>
      <c r="Q23" s="8" t="s">
        <v>247</v>
      </c>
      <c r="R23" s="8">
        <v>3.4000000000000002E-2</v>
      </c>
      <c r="S23" s="69">
        <v>-1.9499999999999999E-3</v>
      </c>
      <c r="T23" s="8">
        <v>0.06</v>
      </c>
      <c r="U23" s="69">
        <v>-8.8999999999999995E-4</v>
      </c>
    </row>
    <row r="24" spans="3:21" ht="15.6">
      <c r="C24" s="8">
        <v>21</v>
      </c>
      <c r="D24" s="8" t="s">
        <v>30</v>
      </c>
      <c r="E24" s="8">
        <v>1.0329999999999999</v>
      </c>
      <c r="F24" s="8">
        <v>-16.130700000000001</v>
      </c>
      <c r="G24" s="8">
        <v>0</v>
      </c>
      <c r="H24" s="8">
        <v>0</v>
      </c>
      <c r="I24" s="8">
        <v>17.5</v>
      </c>
      <c r="J24" s="8">
        <v>11.2</v>
      </c>
      <c r="K24" s="8">
        <f t="shared" si="0"/>
        <v>-17.5</v>
      </c>
      <c r="L24" s="8">
        <f t="shared" si="1"/>
        <v>-11.2</v>
      </c>
      <c r="O24" s="70">
        <v>22</v>
      </c>
      <c r="P24" s="8" t="s">
        <v>226</v>
      </c>
      <c r="Q24" s="8" t="s">
        <v>248</v>
      </c>
      <c r="R24" s="8">
        <v>3.1E-2</v>
      </c>
      <c r="S24" s="69">
        <v>-1.7700000000000001E-3</v>
      </c>
      <c r="T24" s="8">
        <v>0.06</v>
      </c>
      <c r="U24" s="69">
        <v>-8.8999999999999995E-4</v>
      </c>
    </row>
    <row r="25" spans="3:21" ht="15.6">
      <c r="C25" s="8">
        <v>22</v>
      </c>
      <c r="D25" s="8" t="s">
        <v>30</v>
      </c>
      <c r="E25" s="8">
        <v>1.0335000000000001</v>
      </c>
      <c r="F25" s="8">
        <v>-16.116399999999999</v>
      </c>
      <c r="G25" s="8">
        <v>0</v>
      </c>
      <c r="H25" s="8">
        <v>0</v>
      </c>
      <c r="I25" s="8">
        <v>0</v>
      </c>
      <c r="J25" s="8">
        <v>0</v>
      </c>
      <c r="K25" s="8">
        <f t="shared" si="0"/>
        <v>0</v>
      </c>
      <c r="L25" s="8">
        <f t="shared" si="1"/>
        <v>0</v>
      </c>
      <c r="O25" s="70">
        <v>23</v>
      </c>
      <c r="P25" s="8" t="s">
        <v>226</v>
      </c>
      <c r="Q25" s="8" t="s">
        <v>249</v>
      </c>
      <c r="R25" s="8">
        <v>2.4E-2</v>
      </c>
      <c r="S25" s="69">
        <v>-1.3699999999999999E-3</v>
      </c>
      <c r="T25" s="8">
        <v>0.05</v>
      </c>
      <c r="U25" s="69">
        <v>-7.3999999999999999E-4</v>
      </c>
    </row>
    <row r="26" spans="3:21" ht="15.6">
      <c r="C26" s="8">
        <v>23</v>
      </c>
      <c r="D26" s="8" t="s">
        <v>30</v>
      </c>
      <c r="E26" s="8">
        <v>1.0274000000000001</v>
      </c>
      <c r="F26" s="8">
        <v>-16.3066</v>
      </c>
      <c r="G26" s="8">
        <v>0</v>
      </c>
      <c r="H26" s="8">
        <v>0</v>
      </c>
      <c r="I26" s="8">
        <v>3.2</v>
      </c>
      <c r="J26" s="8">
        <v>1.6</v>
      </c>
      <c r="K26" s="8">
        <f t="shared" si="0"/>
        <v>-3.2</v>
      </c>
      <c r="L26" s="8">
        <f t="shared" si="1"/>
        <v>-1.6</v>
      </c>
      <c r="O26" s="70">
        <v>24</v>
      </c>
      <c r="P26" s="8" t="s">
        <v>226</v>
      </c>
      <c r="Q26" s="8" t="s">
        <v>250</v>
      </c>
      <c r="R26" s="8">
        <v>5.2999999999999999E-2</v>
      </c>
      <c r="S26" s="69">
        <v>-3.0200000000000001E-3</v>
      </c>
      <c r="T26" s="8">
        <v>0.11</v>
      </c>
      <c r="U26" s="69">
        <v>-1.6199999999999999E-3</v>
      </c>
    </row>
    <row r="27" spans="3:21" ht="15.6">
      <c r="C27" s="8">
        <v>24</v>
      </c>
      <c r="D27" s="8" t="s">
        <v>30</v>
      </c>
      <c r="E27" s="8">
        <v>1.0218</v>
      </c>
      <c r="F27" s="8">
        <v>-16.482800000000001</v>
      </c>
      <c r="G27" s="8">
        <v>0</v>
      </c>
      <c r="H27" s="8">
        <v>0</v>
      </c>
      <c r="I27" s="8">
        <v>8.6999999999999993</v>
      </c>
      <c r="J27" s="8">
        <v>6.7</v>
      </c>
      <c r="K27" s="8">
        <f t="shared" si="0"/>
        <v>-8.6999999999999993</v>
      </c>
      <c r="L27" s="8">
        <f>H27-J27</f>
        <v>-6.7</v>
      </c>
      <c r="O27" s="70">
        <v>25</v>
      </c>
      <c r="P27" s="8" t="s">
        <v>226</v>
      </c>
      <c r="Q27" s="8" t="s">
        <v>251</v>
      </c>
      <c r="R27" s="8">
        <v>5.3999999999999999E-2</v>
      </c>
      <c r="S27" s="69">
        <v>-3.0799999999999998E-3</v>
      </c>
      <c r="T27" s="8">
        <v>0.11</v>
      </c>
      <c r="U27" s="69">
        <v>-1.6199999999999999E-3</v>
      </c>
    </row>
    <row r="28" spans="3:21" ht="15.6">
      <c r="C28" s="8">
        <v>25</v>
      </c>
      <c r="D28" s="8" t="s">
        <v>30</v>
      </c>
      <c r="E28" s="8">
        <v>1.0176000000000001</v>
      </c>
      <c r="F28" s="8">
        <v>-16.054600000000001</v>
      </c>
      <c r="G28" s="8">
        <v>0</v>
      </c>
      <c r="H28" s="8">
        <v>0</v>
      </c>
      <c r="I28" s="8">
        <v>0</v>
      </c>
      <c r="J28" s="8">
        <v>0</v>
      </c>
      <c r="K28" s="8">
        <f t="shared" si="0"/>
        <v>0</v>
      </c>
      <c r="L28" s="8">
        <f t="shared" si="1"/>
        <v>0</v>
      </c>
      <c r="O28" s="70">
        <v>26</v>
      </c>
      <c r="P28" s="8" t="s">
        <v>226</v>
      </c>
      <c r="Q28" s="8" t="s">
        <v>252</v>
      </c>
      <c r="R28" s="8">
        <v>0.01</v>
      </c>
      <c r="S28" s="69">
        <v>-5.6999999999999998E-4</v>
      </c>
      <c r="T28" s="8">
        <v>0.02</v>
      </c>
      <c r="U28" s="69">
        <v>-2.9999999999999997E-4</v>
      </c>
    </row>
    <row r="29" spans="3:21" ht="15.6">
      <c r="C29" s="8">
        <v>26</v>
      </c>
      <c r="D29" s="8" t="s">
        <v>30</v>
      </c>
      <c r="E29" s="8">
        <v>0.99990000000000001</v>
      </c>
      <c r="F29" s="8">
        <v>-16.474</v>
      </c>
      <c r="G29" s="8">
        <v>0</v>
      </c>
      <c r="H29" s="8">
        <v>0</v>
      </c>
      <c r="I29" s="8">
        <v>3.5</v>
      </c>
      <c r="J29" s="8">
        <v>2.2999999999999998</v>
      </c>
      <c r="K29" s="8">
        <f t="shared" si="0"/>
        <v>-3.5</v>
      </c>
      <c r="L29" s="8">
        <f t="shared" si="1"/>
        <v>-2.2999999999999998</v>
      </c>
      <c r="O29" s="70">
        <v>27</v>
      </c>
      <c r="P29" s="8" t="s">
        <v>226</v>
      </c>
      <c r="Q29" s="8" t="s">
        <v>253</v>
      </c>
      <c r="R29" s="8">
        <v>8.0000000000000002E-3</v>
      </c>
      <c r="S29" s="69">
        <v>-4.6000000000000001E-4</v>
      </c>
      <c r="T29" s="8">
        <v>0.03</v>
      </c>
      <c r="U29" s="69">
        <v>-4.4000000000000002E-4</v>
      </c>
    </row>
    <row r="30" spans="3:21" ht="15.6">
      <c r="C30" s="8">
        <v>27</v>
      </c>
      <c r="D30" s="8" t="s">
        <v>30</v>
      </c>
      <c r="E30" s="8">
        <v>1.0235000000000001</v>
      </c>
      <c r="F30" s="8">
        <v>-15.530099999999999</v>
      </c>
      <c r="G30" s="8">
        <v>0</v>
      </c>
      <c r="H30" s="8">
        <v>0</v>
      </c>
      <c r="I30" s="8">
        <v>0</v>
      </c>
      <c r="J30" s="8">
        <v>0</v>
      </c>
      <c r="K30" s="8">
        <f t="shared" si="0"/>
        <v>0</v>
      </c>
      <c r="L30" s="8">
        <f t="shared" si="1"/>
        <v>0</v>
      </c>
      <c r="O30" s="70">
        <v>28</v>
      </c>
      <c r="P30" s="8" t="s">
        <v>226</v>
      </c>
      <c r="Q30" s="8" t="s">
        <v>254</v>
      </c>
      <c r="R30" s="8">
        <v>6.0000000000000001E-3</v>
      </c>
      <c r="S30" s="69">
        <v>-3.4000000000000002E-4</v>
      </c>
      <c r="T30" s="8">
        <v>0.01</v>
      </c>
      <c r="U30" s="69">
        <v>-1.4999999999999999E-4</v>
      </c>
    </row>
    <row r="31" spans="3:21" ht="15.6">
      <c r="C31" s="8">
        <v>28</v>
      </c>
      <c r="D31" s="8" t="s">
        <v>30</v>
      </c>
      <c r="E31" s="8">
        <v>1.0071000000000001</v>
      </c>
      <c r="F31" s="8">
        <v>-11.677300000000001</v>
      </c>
      <c r="G31" s="8">
        <v>0</v>
      </c>
      <c r="H31" s="8">
        <v>0</v>
      </c>
      <c r="I31" s="8">
        <v>0</v>
      </c>
      <c r="J31" s="8">
        <v>0</v>
      </c>
      <c r="K31" s="8">
        <f t="shared" si="0"/>
        <v>0</v>
      </c>
      <c r="L31" s="8">
        <f t="shared" si="1"/>
        <v>0</v>
      </c>
      <c r="O31" s="70">
        <v>29</v>
      </c>
      <c r="P31" s="8" t="s">
        <v>226</v>
      </c>
      <c r="Q31" s="8" t="s">
        <v>255</v>
      </c>
      <c r="R31" s="8">
        <v>6.0000000000000001E-3</v>
      </c>
      <c r="S31" s="69">
        <v>-3.4000000000000002E-4</v>
      </c>
      <c r="T31" s="8">
        <v>0.01</v>
      </c>
      <c r="U31" s="69">
        <v>-1.4999999999999999E-4</v>
      </c>
    </row>
    <row r="32" spans="3:21" ht="15.6">
      <c r="C32" s="8">
        <v>29</v>
      </c>
      <c r="D32" s="8" t="s">
        <v>30</v>
      </c>
      <c r="E32" s="8">
        <v>1.0037</v>
      </c>
      <c r="F32" s="8">
        <v>-16.7593</v>
      </c>
      <c r="G32" s="8">
        <v>0</v>
      </c>
      <c r="H32" s="8">
        <v>0</v>
      </c>
      <c r="I32" s="8">
        <v>2.4</v>
      </c>
      <c r="J32" s="8">
        <v>0.9</v>
      </c>
      <c r="K32" s="8">
        <f t="shared" si="0"/>
        <v>-2.4</v>
      </c>
      <c r="L32" s="8">
        <f t="shared" si="1"/>
        <v>-0.9</v>
      </c>
      <c r="O32" s="70">
        <v>30</v>
      </c>
      <c r="P32" s="8" t="s">
        <v>226</v>
      </c>
      <c r="Q32" s="8" t="s">
        <v>256</v>
      </c>
      <c r="R32" s="8">
        <v>5.0000000000000001E-3</v>
      </c>
      <c r="S32" s="69">
        <v>-2.7999999999999998E-4</v>
      </c>
      <c r="T32" s="8">
        <v>0.01</v>
      </c>
      <c r="U32" s="69">
        <v>-1.4999999999999999E-4</v>
      </c>
    </row>
    <row r="33" spans="3:21" ht="15.6">
      <c r="C33" s="8">
        <v>30</v>
      </c>
      <c r="D33" s="8" t="s">
        <v>30</v>
      </c>
      <c r="E33" s="8">
        <v>0.99219999999999997</v>
      </c>
      <c r="F33" s="8">
        <v>-17.6416</v>
      </c>
      <c r="G33" s="8">
        <v>0</v>
      </c>
      <c r="H33" s="8">
        <v>0</v>
      </c>
      <c r="I33" s="8">
        <v>10.6</v>
      </c>
      <c r="J33" s="8">
        <v>1.9</v>
      </c>
      <c r="K33" s="8">
        <f t="shared" si="0"/>
        <v>-10.6</v>
      </c>
      <c r="L33" s="8">
        <f t="shared" si="1"/>
        <v>-1.9</v>
      </c>
      <c r="O33" s="70">
        <v>31</v>
      </c>
      <c r="P33" s="8" t="s">
        <v>226</v>
      </c>
      <c r="Q33" s="8" t="s">
        <v>257</v>
      </c>
      <c r="R33" s="8">
        <v>2E-3</v>
      </c>
      <c r="S33" s="69">
        <v>-1.1E-4</v>
      </c>
      <c r="T33" s="8">
        <v>0.01</v>
      </c>
      <c r="U33" s="69">
        <v>-1.4999999999999999E-4</v>
      </c>
    </row>
    <row r="34" spans="3:21" ht="15.6">
      <c r="O34" s="70">
        <v>32</v>
      </c>
      <c r="P34" s="8" t="s">
        <v>226</v>
      </c>
      <c r="Q34" s="8" t="s">
        <v>258</v>
      </c>
      <c r="R34" s="8">
        <v>1E-3</v>
      </c>
      <c r="S34" s="69">
        <v>-6.0000000000000002E-5</v>
      </c>
      <c r="T34" s="8">
        <v>0</v>
      </c>
      <c r="U34" s="69">
        <v>0</v>
      </c>
    </row>
    <row r="35" spans="3:21" ht="15.6">
      <c r="O35" s="70">
        <v>33</v>
      </c>
      <c r="P35" s="8" t="s">
        <v>226</v>
      </c>
      <c r="Q35" s="8" t="s">
        <v>259</v>
      </c>
      <c r="R35" s="8">
        <v>0</v>
      </c>
      <c r="S35" s="69">
        <v>0</v>
      </c>
      <c r="T35" s="8">
        <v>1.62</v>
      </c>
      <c r="U35" s="69">
        <v>-2.3939999999999999E-2</v>
      </c>
    </row>
    <row r="36" spans="3:21" ht="15.6">
      <c r="O36" s="70">
        <v>34</v>
      </c>
      <c r="P36" s="8" t="s">
        <v>226</v>
      </c>
      <c r="Q36" s="8" t="s">
        <v>260</v>
      </c>
      <c r="R36" s="8">
        <v>0</v>
      </c>
      <c r="S36" s="69">
        <v>0</v>
      </c>
      <c r="T36" s="8">
        <v>1.28</v>
      </c>
      <c r="U36" s="69">
        <v>-1.891E-2</v>
      </c>
    </row>
    <row r="37" spans="3:21" ht="15.6">
      <c r="O37" s="70">
        <v>35</v>
      </c>
      <c r="P37" s="8" t="s">
        <v>226</v>
      </c>
      <c r="Q37" s="8" t="s">
        <v>261</v>
      </c>
      <c r="R37" s="8">
        <v>0</v>
      </c>
      <c r="S37" s="69">
        <v>0</v>
      </c>
      <c r="T37" s="8">
        <v>0.46</v>
      </c>
      <c r="U37" s="69">
        <v>-6.7999999999999996E-3</v>
      </c>
    </row>
    <row r="38" spans="3:21" ht="15.6">
      <c r="O38" s="70">
        <v>36</v>
      </c>
      <c r="P38" s="8" t="s">
        <v>226</v>
      </c>
      <c r="Q38" s="8" t="s">
        <v>262</v>
      </c>
      <c r="R38" s="8">
        <v>0</v>
      </c>
      <c r="S38" s="69">
        <v>0</v>
      </c>
      <c r="T38" s="8">
        <v>0.8</v>
      </c>
      <c r="U38" s="69">
        <v>-1.1820000000000001E-2</v>
      </c>
    </row>
    <row r="39" spans="3:21" ht="15.6">
      <c r="O39" s="70">
        <v>37</v>
      </c>
      <c r="P39" s="8" t="s">
        <v>226</v>
      </c>
      <c r="Q39" s="8" t="s">
        <v>263</v>
      </c>
      <c r="R39" s="8">
        <v>0</v>
      </c>
      <c r="S39" s="69">
        <v>0</v>
      </c>
      <c r="T39" s="8">
        <v>4.6900000000000004</v>
      </c>
      <c r="U39" s="69">
        <v>-6.93E-2</v>
      </c>
    </row>
    <row r="40" spans="3:21" ht="15.6">
      <c r="O40" s="70">
        <v>38</v>
      </c>
      <c r="P40" s="8" t="s">
        <v>226</v>
      </c>
      <c r="Q40" s="8" t="s">
        <v>264</v>
      </c>
      <c r="R40" s="8">
        <v>0</v>
      </c>
      <c r="S40" s="69">
        <v>0</v>
      </c>
      <c r="T40" s="8">
        <v>0.13</v>
      </c>
      <c r="U40" s="69">
        <v>-1.92E-3</v>
      </c>
    </row>
    <row r="41" spans="3:21" ht="15.6">
      <c r="O41" s="70">
        <v>39</v>
      </c>
      <c r="P41" s="8" t="s">
        <v>226</v>
      </c>
      <c r="Q41" s="8" t="s">
        <v>265</v>
      </c>
      <c r="R41" s="8">
        <v>0</v>
      </c>
      <c r="S41" s="69">
        <v>0</v>
      </c>
      <c r="T41" s="8">
        <v>1.29</v>
      </c>
      <c r="U41" s="69">
        <v>-1.9060000000000001E-2</v>
      </c>
    </row>
    <row r="42" spans="3:21" ht="15.6">
      <c r="O42" s="70">
        <v>40</v>
      </c>
      <c r="P42" s="8" t="s">
        <v>226</v>
      </c>
      <c r="Q42" s="8" t="s">
        <v>266</v>
      </c>
      <c r="R42" s="8">
        <v>1.4E-2</v>
      </c>
      <c r="S42" s="69">
        <v>-8.0000000000000004E-4</v>
      </c>
      <c r="T42" s="8">
        <v>0.04</v>
      </c>
      <c r="U42" s="69">
        <v>-5.9000000000000003E-4</v>
      </c>
    </row>
    <row r="43" spans="3:21" ht="15.6">
      <c r="O43" s="70">
        <v>41</v>
      </c>
      <c r="P43" s="8" t="s">
        <v>226</v>
      </c>
      <c r="Q43" s="8" t="s">
        <v>267</v>
      </c>
      <c r="R43" s="8">
        <v>1.7000000000000001E-2</v>
      </c>
      <c r="S43" s="69">
        <v>-9.7000000000000005E-4</v>
      </c>
      <c r="T43" s="8">
        <v>0.03</v>
      </c>
      <c r="U43" s="69">
        <v>-4.4000000000000002E-4</v>
      </c>
    </row>
  </sheetData>
  <mergeCells count="1">
    <mergeCell ref="C2:L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D01B-7659-4A2B-BC59-150294D7AA45}">
  <dimension ref="B2:BH45"/>
  <sheetViews>
    <sheetView topLeftCell="AX4" zoomScale="112" zoomScaleNormal="112" workbookViewId="0">
      <selection activeCell="AK31" sqref="AK31"/>
    </sheetView>
  </sheetViews>
  <sheetFormatPr baseColWidth="10" defaultColWidth="11.3984375" defaultRowHeight="13.8"/>
  <cols>
    <col min="4" max="9" width="0" hidden="1" customWidth="1"/>
    <col min="19" max="25" width="0" hidden="1" customWidth="1"/>
    <col min="35" max="35" width="11.59765625" style="34"/>
    <col min="39" max="39" width="11.59765625" customWidth="1"/>
    <col min="43" max="44" width="11.59765625" customWidth="1"/>
    <col min="45" max="45" width="9.59765625" bestFit="1" customWidth="1"/>
    <col min="46" max="46" width="0" hidden="1" customWidth="1"/>
    <col min="47" max="47" width="20.296875" hidden="1" customWidth="1"/>
    <col min="50" max="50" width="42.59765625" bestFit="1" customWidth="1"/>
    <col min="53" max="53" width="10.59765625" customWidth="1"/>
    <col min="56" max="56" width="13.09765625" customWidth="1"/>
  </cols>
  <sheetData>
    <row r="2" spans="2:60">
      <c r="B2" s="201" t="s">
        <v>268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  <c r="R2" s="201" t="s">
        <v>269</v>
      </c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3"/>
    </row>
    <row r="3" spans="2:60">
      <c r="B3" s="204" t="s">
        <v>6</v>
      </c>
      <c r="C3" s="195" t="s">
        <v>8</v>
      </c>
      <c r="D3" s="17" t="s">
        <v>270</v>
      </c>
      <c r="E3" s="17" t="s">
        <v>271</v>
      </c>
      <c r="F3" s="17" t="s">
        <v>201</v>
      </c>
      <c r="G3" s="17" t="s">
        <v>202</v>
      </c>
      <c r="H3" s="17" t="s">
        <v>272</v>
      </c>
      <c r="I3" s="17" t="s">
        <v>273</v>
      </c>
      <c r="J3" s="21" t="s">
        <v>274</v>
      </c>
      <c r="K3" s="21" t="s">
        <v>271</v>
      </c>
      <c r="L3" s="21" t="s">
        <v>201</v>
      </c>
      <c r="M3" s="21" t="s">
        <v>202</v>
      </c>
      <c r="N3" s="17" t="s">
        <v>272</v>
      </c>
      <c r="O3" s="21" t="s">
        <v>273</v>
      </c>
      <c r="R3" s="204" t="s">
        <v>6</v>
      </c>
      <c r="S3" s="195" t="s">
        <v>8</v>
      </c>
      <c r="T3" s="17" t="s">
        <v>270</v>
      </c>
      <c r="U3" s="17" t="s">
        <v>271</v>
      </c>
      <c r="V3" s="17" t="s">
        <v>201</v>
      </c>
      <c r="W3" s="17" t="s">
        <v>202</v>
      </c>
      <c r="X3" s="17" t="s">
        <v>272</v>
      </c>
      <c r="Y3" s="17" t="s">
        <v>273</v>
      </c>
      <c r="Z3" s="17" t="s">
        <v>274</v>
      </c>
      <c r="AA3" s="21" t="s">
        <v>271</v>
      </c>
      <c r="AB3" s="17" t="s">
        <v>201</v>
      </c>
      <c r="AC3" s="21" t="s">
        <v>202</v>
      </c>
      <c r="AD3" s="17" t="s">
        <v>272</v>
      </c>
      <c r="AE3" s="21" t="s">
        <v>273</v>
      </c>
      <c r="AF3" s="17" t="s">
        <v>275</v>
      </c>
      <c r="AG3" s="18" t="s">
        <v>276</v>
      </c>
      <c r="AL3" s="201" t="s">
        <v>277</v>
      </c>
      <c r="AM3" s="202"/>
      <c r="AN3" s="203"/>
      <c r="AQ3" s="193" t="s">
        <v>278</v>
      </c>
      <c r="AR3" s="195" t="s">
        <v>279</v>
      </c>
      <c r="AS3" s="195" t="s">
        <v>271</v>
      </c>
      <c r="AT3" s="17"/>
      <c r="AU3" s="17"/>
      <c r="AV3" s="197" t="s">
        <v>90</v>
      </c>
      <c r="AW3" s="199" t="s">
        <v>91</v>
      </c>
      <c r="AX3" s="191" t="s">
        <v>280</v>
      </c>
    </row>
    <row r="4" spans="2:60" ht="28.8">
      <c r="B4" s="205"/>
      <c r="C4" s="196"/>
      <c r="D4" s="19" t="s">
        <v>281</v>
      </c>
      <c r="E4" s="19" t="s">
        <v>282</v>
      </c>
      <c r="F4" s="19" t="s">
        <v>283</v>
      </c>
      <c r="G4" s="19" t="s">
        <v>284</v>
      </c>
      <c r="H4" s="19" t="s">
        <v>283</v>
      </c>
      <c r="I4" s="19" t="s">
        <v>284</v>
      </c>
      <c r="J4" s="22" t="s">
        <v>281</v>
      </c>
      <c r="K4" s="22" t="s">
        <v>282</v>
      </c>
      <c r="L4" s="22" t="s">
        <v>283</v>
      </c>
      <c r="M4" s="22" t="s">
        <v>284</v>
      </c>
      <c r="N4" s="19" t="s">
        <v>283</v>
      </c>
      <c r="O4" s="22" t="s">
        <v>284</v>
      </c>
      <c r="R4" s="206"/>
      <c r="S4" s="207"/>
      <c r="T4" t="s">
        <v>281</v>
      </c>
      <c r="U4" t="s">
        <v>282</v>
      </c>
      <c r="V4" t="s">
        <v>283</v>
      </c>
      <c r="W4" t="s">
        <v>284</v>
      </c>
      <c r="X4" t="s">
        <v>283</v>
      </c>
      <c r="Y4" t="s">
        <v>284</v>
      </c>
      <c r="Z4" t="s">
        <v>281</v>
      </c>
      <c r="AA4" s="42" t="s">
        <v>282</v>
      </c>
      <c r="AB4" t="s">
        <v>283</v>
      </c>
      <c r="AC4" s="42" t="s">
        <v>284</v>
      </c>
      <c r="AD4" t="s">
        <v>283</v>
      </c>
      <c r="AE4" s="42" t="s">
        <v>284</v>
      </c>
      <c r="AF4" t="s">
        <v>283</v>
      </c>
      <c r="AG4" s="33" t="s">
        <v>284</v>
      </c>
      <c r="AI4" s="142" t="s">
        <v>285</v>
      </c>
      <c r="AJ4" s="143" t="s">
        <v>286</v>
      </c>
      <c r="AL4" s="39" t="s">
        <v>287</v>
      </c>
      <c r="AM4" s="40" t="s">
        <v>288</v>
      </c>
      <c r="AN4" s="38" t="s">
        <v>289</v>
      </c>
      <c r="AQ4" s="194"/>
      <c r="AR4" s="196"/>
      <c r="AS4" s="196"/>
      <c r="AT4" s="41" t="s">
        <v>290</v>
      </c>
      <c r="AU4" s="41" t="s">
        <v>291</v>
      </c>
      <c r="AV4" s="198"/>
      <c r="AW4" s="200"/>
      <c r="AX4" s="192"/>
      <c r="AZ4" s="10"/>
      <c r="BA4" s="60" t="s">
        <v>292</v>
      </c>
      <c r="BB4" s="61" t="s">
        <v>293</v>
      </c>
      <c r="BC4" s="62" t="s">
        <v>294</v>
      </c>
      <c r="BD4" s="62" t="s">
        <v>295</v>
      </c>
      <c r="BE4" s="62" t="s">
        <v>296</v>
      </c>
      <c r="BF4" s="62" t="s">
        <v>297</v>
      </c>
      <c r="BG4" s="62" t="s">
        <v>298</v>
      </c>
      <c r="BH4" s="63" t="s">
        <v>299</v>
      </c>
    </row>
    <row r="5" spans="2:60" ht="15">
      <c r="B5" s="23">
        <v>1</v>
      </c>
      <c r="C5" s="24" t="s">
        <v>23</v>
      </c>
      <c r="D5" s="24" t="s">
        <v>300</v>
      </c>
      <c r="E5" s="24" t="s">
        <v>301</v>
      </c>
      <c r="F5" s="24" t="s">
        <v>302</v>
      </c>
      <c r="G5" s="24" t="s">
        <v>303</v>
      </c>
      <c r="H5" s="24" t="s">
        <v>304</v>
      </c>
      <c r="I5" s="24" t="s">
        <v>304</v>
      </c>
      <c r="J5" s="25" t="str">
        <f>SUBSTITUTE(D5,".",",")</f>
        <v>1,060</v>
      </c>
      <c r="K5" s="25">
        <v>0</v>
      </c>
      <c r="L5" s="25" t="str">
        <f t="shared" ref="L5:O5" si="0">SUBSTITUTE(F5,".",",")</f>
        <v>260,96</v>
      </c>
      <c r="M5" s="25" t="str">
        <f t="shared" si="0"/>
        <v>-20,42</v>
      </c>
      <c r="N5" s="25" t="str">
        <f t="shared" si="0"/>
        <v>-</v>
      </c>
      <c r="O5" s="26" t="str">
        <f t="shared" si="0"/>
        <v>-</v>
      </c>
      <c r="P5" s="1"/>
      <c r="R5" s="74">
        <v>1</v>
      </c>
      <c r="S5" s="75" t="s">
        <v>23</v>
      </c>
      <c r="T5" s="76" t="s">
        <v>305</v>
      </c>
      <c r="U5" s="76" t="s">
        <v>306</v>
      </c>
      <c r="V5" s="76" t="s">
        <v>307</v>
      </c>
      <c r="W5" s="76" t="s">
        <v>308</v>
      </c>
      <c r="X5" s="76" t="s">
        <v>309</v>
      </c>
      <c r="Y5" s="76" t="s">
        <v>309</v>
      </c>
      <c r="Z5" s="77" t="str">
        <f>SUBSTITUTE(T5,".",",")</f>
        <v>1,0600</v>
      </c>
      <c r="AA5" s="77" t="str">
        <f t="shared" ref="AA5:AC5" si="1">SUBSTITUTE(U5,".",",")</f>
        <v>0,0000</v>
      </c>
      <c r="AB5" s="77" t="str">
        <f t="shared" si="1"/>
        <v>260,200</v>
      </c>
      <c r="AC5" s="77" t="str">
        <f t="shared" si="1"/>
        <v>-20,418</v>
      </c>
      <c r="AD5" s="78">
        <v>0</v>
      </c>
      <c r="AE5" s="84">
        <v>0</v>
      </c>
      <c r="AF5" s="136">
        <f>AB5-AD5</f>
        <v>260200</v>
      </c>
      <c r="AG5" s="136">
        <f>AC5-AE5</f>
        <v>-20418</v>
      </c>
      <c r="AI5" s="144" t="s">
        <v>310</v>
      </c>
      <c r="AJ5" s="145" t="e">
        <v>#VALUE!</v>
      </c>
      <c r="AL5" s="35">
        <f>Nodos!L4*1.1</f>
        <v>145.20000000000002</v>
      </c>
      <c r="AM5" s="17">
        <f>Nodos!L4*0.9</f>
        <v>118.8</v>
      </c>
      <c r="AN5" s="18">
        <f>Z5*'DATOS ESPERADOS'!K1</f>
        <v>1399200</v>
      </c>
      <c r="AQ5" s="35">
        <v>1</v>
      </c>
      <c r="AR5" s="17">
        <v>1.06</v>
      </c>
      <c r="AS5" s="26">
        <v>0</v>
      </c>
      <c r="AT5" s="17">
        <f>AR5*'DATOS ESPERADOS'!K1</f>
        <v>139.92000000000002</v>
      </c>
      <c r="AU5" s="25">
        <v>0</v>
      </c>
      <c r="AV5" s="43">
        <v>1</v>
      </c>
      <c r="AW5" s="44">
        <v>2</v>
      </c>
      <c r="AX5" s="42" t="str">
        <f>[1]Sheet1!$B$2</f>
        <v>(-5.224646179885656+15.646726840803398j)</v>
      </c>
      <c r="AY5" s="1"/>
      <c r="AZ5" s="1">
        <v>1</v>
      </c>
      <c r="BA5" s="64">
        <v>1</v>
      </c>
      <c r="BB5" s="59">
        <v>2</v>
      </c>
      <c r="BC5" s="59">
        <v>173.30581000000001</v>
      </c>
      <c r="BD5" s="59">
        <v>-24.702449999999999</v>
      </c>
      <c r="BE5" s="59">
        <v>-168.09272999999999</v>
      </c>
      <c r="BF5" s="59">
        <v>34.465290000000003</v>
      </c>
      <c r="BG5" s="121">
        <v>5.2130000000000001</v>
      </c>
      <c r="BH5" s="122">
        <v>15.61</v>
      </c>
    </row>
    <row r="6" spans="2:60" ht="15">
      <c r="B6" s="27">
        <v>2</v>
      </c>
      <c r="C6" s="10" t="s">
        <v>26</v>
      </c>
      <c r="D6" s="10" t="s">
        <v>311</v>
      </c>
      <c r="E6" s="10" t="s">
        <v>312</v>
      </c>
      <c r="F6" s="10" t="s">
        <v>313</v>
      </c>
      <c r="G6" s="10" t="s">
        <v>314</v>
      </c>
      <c r="H6" s="10" t="s">
        <v>315</v>
      </c>
      <c r="I6" s="10" t="s">
        <v>316</v>
      </c>
      <c r="J6" s="1" t="str">
        <f t="shared" ref="J6:J34" si="2">SUBSTITUTE(D6,".",",")</f>
        <v>1,045</v>
      </c>
      <c r="K6" s="1" t="str">
        <f t="shared" ref="K6:K34" si="3">SUBSTITUTE(E6,".",",")</f>
        <v>-5,378</v>
      </c>
      <c r="L6" s="1" t="str">
        <f t="shared" ref="L6:L34" si="4">SUBSTITUTE(F6,".",",")</f>
        <v>40,00</v>
      </c>
      <c r="M6" s="1" t="str">
        <f t="shared" ref="M6:M34" si="5">SUBSTITUTE(G6,".",",")</f>
        <v>56,07</v>
      </c>
      <c r="N6" s="1" t="str">
        <f t="shared" ref="N6:N34" si="6">SUBSTITUTE(H6,".",",")</f>
        <v>21,70</v>
      </c>
      <c r="O6" s="28" t="str">
        <f t="shared" ref="O6:O34" si="7">SUBSTITUTE(I6,".",",")</f>
        <v>12,70</v>
      </c>
      <c r="R6" s="79">
        <v>2</v>
      </c>
      <c r="S6" s="73" t="s">
        <v>26</v>
      </c>
      <c r="T6" s="8" t="s">
        <v>317</v>
      </c>
      <c r="U6" s="8" t="s">
        <v>318</v>
      </c>
      <c r="V6" s="8" t="s">
        <v>319</v>
      </c>
      <c r="W6" s="8" t="s">
        <v>320</v>
      </c>
      <c r="X6" s="8" t="s">
        <v>321</v>
      </c>
      <c r="Y6" s="8" t="s">
        <v>322</v>
      </c>
      <c r="Z6" s="6" t="str">
        <f t="shared" ref="Z6:Z34" si="8">SUBSTITUTE(T6,".",",")</f>
        <v>1,0450</v>
      </c>
      <c r="AA6" s="6" t="str">
        <f t="shared" ref="AA6:AA34" si="9">SUBSTITUTE(U6,".",",")</f>
        <v>-5,3782</v>
      </c>
      <c r="AB6" s="6" t="str">
        <f t="shared" ref="AB6:AB34" si="10">SUBSTITUTE(V6,".",",")</f>
        <v>40,000</v>
      </c>
      <c r="AC6" s="6" t="str">
        <f t="shared" ref="AC6:AC17" si="11">SUBSTITUTE(W6,".",",")</f>
        <v>56,069</v>
      </c>
      <c r="AD6" s="71">
        <v>21.7</v>
      </c>
      <c r="AE6" s="85">
        <v>12.7</v>
      </c>
      <c r="AF6" s="136">
        <f t="shared" ref="AF6:AF34" si="12">AB6-AD6</f>
        <v>39978.300000000003</v>
      </c>
      <c r="AG6" s="136">
        <f t="shared" ref="AG6:AG34" si="13">AC6-AE6</f>
        <v>56056.3</v>
      </c>
      <c r="AI6" s="144" t="s">
        <v>310</v>
      </c>
      <c r="AJ6" s="145" t="s">
        <v>323</v>
      </c>
      <c r="AL6" s="36">
        <f>Nodos!L5*1.1</f>
        <v>145.20000000000002</v>
      </c>
      <c r="AM6">
        <f>Nodos!L5*0.9</f>
        <v>118.8</v>
      </c>
      <c r="AN6" s="33">
        <f>Z6*'DATOS ESPERADOS'!K2</f>
        <v>1379400</v>
      </c>
      <c r="AQ6" s="36">
        <v>2</v>
      </c>
      <c r="AR6">
        <v>1.0449999999999999</v>
      </c>
      <c r="AS6" s="28">
        <v>-5.3781999999999996</v>
      </c>
      <c r="AT6">
        <f>AR6*'DATOS ESPERADOS'!K2</f>
        <v>137.94</v>
      </c>
      <c r="AU6" s="1">
        <v>-5.3781999999999996</v>
      </c>
      <c r="AV6" s="45">
        <v>1</v>
      </c>
      <c r="AW6" s="46">
        <v>3</v>
      </c>
      <c r="AX6" s="42" t="str">
        <f>[1]Sheet1!$C$2</f>
        <v>(-1.5408698687669766+5.631674830095234j)</v>
      </c>
      <c r="AY6" s="1"/>
      <c r="AZ6" s="1">
        <v>2</v>
      </c>
      <c r="BA6" s="65">
        <v>1</v>
      </c>
      <c r="BB6" s="8">
        <v>3</v>
      </c>
      <c r="BC6" s="8">
        <v>87.648380000000003</v>
      </c>
      <c r="BD6" s="8">
        <v>4.2711399999999999</v>
      </c>
      <c r="BE6" s="8">
        <v>-84.540649999999999</v>
      </c>
      <c r="BF6" s="8">
        <v>2.66764</v>
      </c>
      <c r="BG6" s="123">
        <v>3.1080000000000001</v>
      </c>
      <c r="BH6" s="124">
        <v>11.36</v>
      </c>
    </row>
    <row r="7" spans="2:60" ht="15">
      <c r="B7" s="27">
        <v>3</v>
      </c>
      <c r="C7" s="10" t="s">
        <v>30</v>
      </c>
      <c r="D7" s="10" t="s">
        <v>324</v>
      </c>
      <c r="E7" s="10" t="s">
        <v>325</v>
      </c>
      <c r="F7" s="10" t="s">
        <v>304</v>
      </c>
      <c r="G7" s="10" t="s">
        <v>304</v>
      </c>
      <c r="H7" s="10" t="s">
        <v>326</v>
      </c>
      <c r="I7" s="10" t="s">
        <v>327</v>
      </c>
      <c r="J7" s="1" t="str">
        <f t="shared" si="2"/>
        <v>1,021</v>
      </c>
      <c r="K7" s="1" t="str">
        <f t="shared" si="3"/>
        <v>-7,529</v>
      </c>
      <c r="L7" s="1" t="str">
        <f t="shared" si="4"/>
        <v>-</v>
      </c>
      <c r="M7" s="1" t="str">
        <f t="shared" si="5"/>
        <v>-</v>
      </c>
      <c r="N7" s="1" t="str">
        <f t="shared" si="6"/>
        <v>2,40</v>
      </c>
      <c r="O7" s="28" t="str">
        <f t="shared" si="7"/>
        <v>1,20</v>
      </c>
      <c r="R7" s="79">
        <v>3</v>
      </c>
      <c r="S7" s="73" t="s">
        <v>30</v>
      </c>
      <c r="T7" s="8" t="s">
        <v>328</v>
      </c>
      <c r="U7" s="8" t="s">
        <v>329</v>
      </c>
      <c r="V7" s="8" t="s">
        <v>309</v>
      </c>
      <c r="W7" s="8" t="s">
        <v>330</v>
      </c>
      <c r="X7" s="8" t="s">
        <v>331</v>
      </c>
      <c r="Y7" s="8" t="s">
        <v>332</v>
      </c>
      <c r="Z7" s="6" t="str">
        <f t="shared" si="8"/>
        <v>1,0212</v>
      </c>
      <c r="AA7" s="6" t="str">
        <f t="shared" si="9"/>
        <v>-7,5287</v>
      </c>
      <c r="AB7" s="6" t="str">
        <f t="shared" si="10"/>
        <v>0,000</v>
      </c>
      <c r="AC7" s="6">
        <v>0</v>
      </c>
      <c r="AD7" s="71">
        <v>2.4</v>
      </c>
      <c r="AE7" s="85">
        <v>1.2</v>
      </c>
      <c r="AF7" s="136" t="e">
        <f t="shared" si="12"/>
        <v>#VALUE!</v>
      </c>
      <c r="AG7" s="136">
        <f t="shared" si="13"/>
        <v>-1.2</v>
      </c>
      <c r="AI7" s="144" t="s">
        <v>333</v>
      </c>
      <c r="AJ7" s="146" t="s">
        <v>334</v>
      </c>
      <c r="AL7" s="36">
        <f>Nodos!L6*1.1</f>
        <v>145.20000000000002</v>
      </c>
      <c r="AM7">
        <f>Nodos!L6*0.9</f>
        <v>118.8</v>
      </c>
      <c r="AN7" s="33">
        <f>Z7*'DATOS ESPERADOS'!K3</f>
        <v>1347984</v>
      </c>
      <c r="AQ7" s="36">
        <v>3</v>
      </c>
      <c r="AR7">
        <v>1.0212000000000001</v>
      </c>
      <c r="AS7" s="28">
        <v>-7.5286999999999997</v>
      </c>
      <c r="AT7">
        <f>AR7*'DATOS ESPERADOS'!K3</f>
        <v>134.79840000000002</v>
      </c>
      <c r="AU7" s="1">
        <v>-7.5286999999999997</v>
      </c>
      <c r="AV7" s="45">
        <v>2</v>
      </c>
      <c r="AW7" s="46">
        <v>4</v>
      </c>
      <c r="AX7" s="42" t="str">
        <f>[1]Sheet1!$D$3</f>
        <v>(-1.7055303166990268+5.197379228256508j)</v>
      </c>
      <c r="AZ7" s="1">
        <v>3</v>
      </c>
      <c r="BA7" s="65">
        <v>2</v>
      </c>
      <c r="BB7" s="8">
        <v>4</v>
      </c>
      <c r="BC7" s="8">
        <v>43.652859999999997</v>
      </c>
      <c r="BD7" s="8">
        <v>4.7497800000000003</v>
      </c>
      <c r="BE7" s="8">
        <v>-42.634369999999997</v>
      </c>
      <c r="BF7" s="8">
        <v>-5.54094</v>
      </c>
      <c r="BG7" s="123">
        <v>1.018</v>
      </c>
      <c r="BH7" s="124">
        <v>3.1</v>
      </c>
    </row>
    <row r="8" spans="2:60" ht="15">
      <c r="B8" s="27">
        <v>4</v>
      </c>
      <c r="C8" s="10" t="s">
        <v>30</v>
      </c>
      <c r="D8" s="10" t="s">
        <v>335</v>
      </c>
      <c r="E8" s="10" t="s">
        <v>336</v>
      </c>
      <c r="F8" s="10" t="s">
        <v>304</v>
      </c>
      <c r="G8" s="10" t="s">
        <v>304</v>
      </c>
      <c r="H8" s="10" t="s">
        <v>337</v>
      </c>
      <c r="I8" s="10" t="s">
        <v>338</v>
      </c>
      <c r="J8" s="1" t="str">
        <f t="shared" si="2"/>
        <v>1,012</v>
      </c>
      <c r="K8" s="1" t="str">
        <f t="shared" si="3"/>
        <v>-9,279</v>
      </c>
      <c r="L8" s="1" t="str">
        <f t="shared" si="4"/>
        <v>-</v>
      </c>
      <c r="M8" s="1" t="str">
        <f t="shared" si="5"/>
        <v>-</v>
      </c>
      <c r="N8" s="1" t="str">
        <f t="shared" si="6"/>
        <v>7,60</v>
      </c>
      <c r="O8" s="28" t="str">
        <f t="shared" si="7"/>
        <v>1,60</v>
      </c>
      <c r="R8" s="79">
        <v>4</v>
      </c>
      <c r="S8" s="73" t="s">
        <v>30</v>
      </c>
      <c r="T8" s="8" t="s">
        <v>339</v>
      </c>
      <c r="U8" s="8" t="s">
        <v>340</v>
      </c>
      <c r="V8" s="8" t="s">
        <v>309</v>
      </c>
      <c r="W8" s="8" t="s">
        <v>330</v>
      </c>
      <c r="X8" s="8" t="s">
        <v>341</v>
      </c>
      <c r="Y8" s="8" t="s">
        <v>342</v>
      </c>
      <c r="Z8" s="6" t="str">
        <f t="shared" si="8"/>
        <v>1,0123</v>
      </c>
      <c r="AA8" s="6" t="str">
        <f t="shared" si="9"/>
        <v>-9,2794</v>
      </c>
      <c r="AB8" s="6" t="str">
        <f t="shared" si="10"/>
        <v>0,000</v>
      </c>
      <c r="AC8" s="6">
        <v>0</v>
      </c>
      <c r="AD8" s="71">
        <v>7.6</v>
      </c>
      <c r="AE8" s="85">
        <v>1.6</v>
      </c>
      <c r="AF8" s="136" t="e">
        <f t="shared" si="12"/>
        <v>#VALUE!</v>
      </c>
      <c r="AG8" s="136">
        <f t="shared" si="13"/>
        <v>-1.6</v>
      </c>
      <c r="AI8" s="144" t="s">
        <v>343</v>
      </c>
      <c r="AJ8" s="145" t="s">
        <v>344</v>
      </c>
      <c r="AL8" s="36">
        <f>Nodos!L7*1.1</f>
        <v>145.20000000000002</v>
      </c>
      <c r="AM8">
        <f>Nodos!L7*0.9</f>
        <v>118.8</v>
      </c>
      <c r="AN8" s="33">
        <f>Z8*'DATOS ESPERADOS'!K4</f>
        <v>1336236</v>
      </c>
      <c r="AQ8" s="36">
        <v>4</v>
      </c>
      <c r="AR8">
        <v>1.0123</v>
      </c>
      <c r="AS8" s="28">
        <v>-9.2794000000000008</v>
      </c>
      <c r="AT8">
        <f>AR8*'DATOS ESPERADOS'!K4</f>
        <v>133.62360000000001</v>
      </c>
      <c r="AU8" s="1">
        <v>-9.2794000000000008</v>
      </c>
      <c r="AV8" s="45">
        <v>3</v>
      </c>
      <c r="AW8" s="46">
        <v>4</v>
      </c>
      <c r="AX8" s="42" t="str">
        <f>[1]Sheet1!$D$4</f>
        <v>(-8.19544904231211+23.5308726290628j)</v>
      </c>
      <c r="AZ8" s="1">
        <v>4</v>
      </c>
      <c r="BA8" s="65">
        <v>2</v>
      </c>
      <c r="BB8" s="8">
        <v>5</v>
      </c>
      <c r="BC8" s="8">
        <v>82.361999999999995</v>
      </c>
      <c r="BD8" s="8">
        <v>2.7816000000000001</v>
      </c>
      <c r="BE8" s="8">
        <v>-79.41892</v>
      </c>
      <c r="BF8" s="8">
        <v>5.16873</v>
      </c>
      <c r="BG8" s="123">
        <v>0.85599999999999998</v>
      </c>
      <c r="BH8" s="124">
        <v>2.46</v>
      </c>
    </row>
    <row r="9" spans="2:60" ht="15">
      <c r="B9" s="27">
        <v>5</v>
      </c>
      <c r="C9" s="10" t="s">
        <v>26</v>
      </c>
      <c r="D9" s="10" t="s">
        <v>345</v>
      </c>
      <c r="E9" s="10" t="s">
        <v>346</v>
      </c>
      <c r="F9" s="10" t="s">
        <v>347</v>
      </c>
      <c r="G9" s="10" t="s">
        <v>348</v>
      </c>
      <c r="H9" s="10" t="s">
        <v>349</v>
      </c>
      <c r="I9" s="10" t="s">
        <v>350</v>
      </c>
      <c r="J9" s="1" t="str">
        <f t="shared" si="2"/>
        <v>1,010</v>
      </c>
      <c r="K9" s="1" t="str">
        <f t="shared" si="3"/>
        <v>-14,149</v>
      </c>
      <c r="L9" s="1" t="str">
        <f t="shared" si="4"/>
        <v>0,00</v>
      </c>
      <c r="M9" s="1" t="str">
        <f t="shared" si="5"/>
        <v>35,66</v>
      </c>
      <c r="N9" s="1" t="str">
        <f t="shared" si="6"/>
        <v>94,20</v>
      </c>
      <c r="O9" s="28" t="str">
        <f t="shared" si="7"/>
        <v>19,00</v>
      </c>
      <c r="R9" s="79">
        <v>5</v>
      </c>
      <c r="S9" s="73" t="s">
        <v>26</v>
      </c>
      <c r="T9" s="8" t="s">
        <v>351</v>
      </c>
      <c r="U9" s="8" t="s">
        <v>352</v>
      </c>
      <c r="V9" s="8" t="s">
        <v>309</v>
      </c>
      <c r="W9" s="8" t="s">
        <v>353</v>
      </c>
      <c r="X9" s="8" t="s">
        <v>354</v>
      </c>
      <c r="Y9" s="8" t="s">
        <v>355</v>
      </c>
      <c r="Z9" s="6" t="str">
        <f t="shared" si="8"/>
        <v>1,0100</v>
      </c>
      <c r="AA9" s="6" t="str">
        <f t="shared" si="9"/>
        <v>-14,1488</v>
      </c>
      <c r="AB9" s="6" t="str">
        <f t="shared" si="10"/>
        <v>0,000</v>
      </c>
      <c r="AC9" s="6" t="str">
        <f t="shared" si="11"/>
        <v>35,659</v>
      </c>
      <c r="AD9" s="71">
        <v>94.2</v>
      </c>
      <c r="AE9" s="85">
        <v>19</v>
      </c>
      <c r="AF9" s="136" t="e">
        <f t="shared" si="12"/>
        <v>#VALUE!</v>
      </c>
      <c r="AG9" s="136">
        <f t="shared" si="13"/>
        <v>35640</v>
      </c>
      <c r="AI9" s="144" t="s">
        <v>310</v>
      </c>
      <c r="AJ9" s="146" t="s">
        <v>356</v>
      </c>
      <c r="AL9" s="36">
        <f>Nodos!L8*1.1</f>
        <v>145.20000000000002</v>
      </c>
      <c r="AM9">
        <f>Nodos!L8*0.9</f>
        <v>118.8</v>
      </c>
      <c r="AN9" s="33">
        <f>Z9*'DATOS ESPERADOS'!K5</f>
        <v>1333200</v>
      </c>
      <c r="AQ9" s="36">
        <v>5</v>
      </c>
      <c r="AR9">
        <v>1.01</v>
      </c>
      <c r="AS9" s="28">
        <v>-14.1488</v>
      </c>
      <c r="AT9">
        <f>AR9*'DATOS ESPERADOS'!K5</f>
        <v>133.32</v>
      </c>
      <c r="AU9" s="1">
        <v>-14.1488</v>
      </c>
      <c r="AV9" s="45">
        <v>2</v>
      </c>
      <c r="AW9" s="46">
        <v>5</v>
      </c>
      <c r="AX9" s="42" t="str">
        <f>[1]Sheet1!$E$3</f>
        <v>(-1.135960788173878+4.7724793282813565j)</v>
      </c>
      <c r="AZ9" s="1">
        <v>5</v>
      </c>
      <c r="BA9" s="65">
        <v>2</v>
      </c>
      <c r="BB9" s="8">
        <v>6</v>
      </c>
      <c r="BC9" s="8">
        <v>60.383319999999998</v>
      </c>
      <c r="BD9" s="8">
        <v>1.3865000000000001</v>
      </c>
      <c r="BE9" s="8">
        <v>-58.437179999999998</v>
      </c>
      <c r="BF9" s="8">
        <v>0.56698999999999999</v>
      </c>
      <c r="BG9" s="123">
        <v>2.9430000000000001</v>
      </c>
      <c r="BH9" s="124">
        <v>12.36</v>
      </c>
    </row>
    <row r="10" spans="2:60" ht="15">
      <c r="B10" s="27">
        <v>6</v>
      </c>
      <c r="C10" s="10" t="s">
        <v>30</v>
      </c>
      <c r="D10" s="10" t="s">
        <v>357</v>
      </c>
      <c r="E10" s="10" t="s">
        <v>358</v>
      </c>
      <c r="F10" s="10" t="s">
        <v>304</v>
      </c>
      <c r="G10" s="10" t="s">
        <v>304</v>
      </c>
      <c r="H10" s="10" t="s">
        <v>304</v>
      </c>
      <c r="I10" s="10" t="s">
        <v>304</v>
      </c>
      <c r="J10" s="1" t="str">
        <f t="shared" si="2"/>
        <v>1,011</v>
      </c>
      <c r="K10" s="1" t="str">
        <f t="shared" si="3"/>
        <v>-11,055</v>
      </c>
      <c r="L10" s="1" t="str">
        <f t="shared" si="4"/>
        <v>-</v>
      </c>
      <c r="M10" s="1" t="str">
        <f t="shared" si="5"/>
        <v>-</v>
      </c>
      <c r="N10" s="1" t="str">
        <f t="shared" si="6"/>
        <v>-</v>
      </c>
      <c r="O10" s="28" t="str">
        <f t="shared" si="7"/>
        <v>-</v>
      </c>
      <c r="R10" s="79">
        <v>6</v>
      </c>
      <c r="S10" s="73" t="s">
        <v>30</v>
      </c>
      <c r="T10" s="8" t="s">
        <v>359</v>
      </c>
      <c r="U10" s="8" t="s">
        <v>360</v>
      </c>
      <c r="V10" s="8" t="s">
        <v>309</v>
      </c>
      <c r="W10" s="8" t="s">
        <v>330</v>
      </c>
      <c r="X10" s="8" t="s">
        <v>309</v>
      </c>
      <c r="Y10" s="8" t="s">
        <v>309</v>
      </c>
      <c r="Z10" s="6" t="str">
        <f t="shared" si="8"/>
        <v>1,0106</v>
      </c>
      <c r="AA10" s="6" t="str">
        <f t="shared" si="9"/>
        <v>-11,0550</v>
      </c>
      <c r="AB10" s="6" t="str">
        <f t="shared" si="10"/>
        <v>0,000</v>
      </c>
      <c r="AC10" s="6">
        <v>0</v>
      </c>
      <c r="AD10" s="71">
        <v>0</v>
      </c>
      <c r="AE10" s="85">
        <v>0</v>
      </c>
      <c r="AF10" s="136" t="e">
        <f t="shared" si="12"/>
        <v>#VALUE!</v>
      </c>
      <c r="AG10" s="136">
        <f t="shared" si="13"/>
        <v>0</v>
      </c>
      <c r="AI10" s="144" t="s">
        <v>361</v>
      </c>
      <c r="AJ10" s="145">
        <v>0</v>
      </c>
      <c r="AL10" s="36">
        <f>Nodos!L9*1.1</f>
        <v>145.20000000000002</v>
      </c>
      <c r="AM10">
        <f>Nodos!L9*0.9</f>
        <v>118.8</v>
      </c>
      <c r="AN10" s="33">
        <f>Z10*'DATOS ESPERADOS'!K6</f>
        <v>1333992</v>
      </c>
      <c r="AQ10" s="36">
        <v>6</v>
      </c>
      <c r="AR10">
        <v>1.0105999999999999</v>
      </c>
      <c r="AS10" s="28">
        <v>-11.055</v>
      </c>
      <c r="AT10">
        <f>AR10*'DATOS ESPERADOS'!K6</f>
        <v>133.39919999999998</v>
      </c>
      <c r="AU10" s="1">
        <v>-11.055</v>
      </c>
      <c r="AV10" s="45">
        <v>2</v>
      </c>
      <c r="AW10" s="46">
        <v>6</v>
      </c>
      <c r="AX10" s="42" t="str">
        <f>[1]Sheet1!$F$3</f>
        <v>(-1.6861448807654689+5.116477495334806j)</v>
      </c>
      <c r="AZ10" s="1">
        <v>6</v>
      </c>
      <c r="BA10" s="65">
        <v>3</v>
      </c>
      <c r="BB10" s="8">
        <v>4</v>
      </c>
      <c r="BC10" s="8">
        <v>82.159580000000005</v>
      </c>
      <c r="BD10" s="8">
        <v>-3.7990599999999999</v>
      </c>
      <c r="BE10" s="8">
        <v>-81.303730000000002</v>
      </c>
      <c r="BF10" s="8">
        <v>5.3879799999999998</v>
      </c>
      <c r="BG10" s="123">
        <v>1.946</v>
      </c>
      <c r="BH10" s="124">
        <v>5.9</v>
      </c>
    </row>
    <row r="11" spans="2:60" ht="15">
      <c r="B11" s="27">
        <v>7</v>
      </c>
      <c r="C11" s="10" t="s">
        <v>30</v>
      </c>
      <c r="D11" s="10" t="s">
        <v>362</v>
      </c>
      <c r="E11" s="10" t="s">
        <v>363</v>
      </c>
      <c r="F11" s="10" t="s">
        <v>304</v>
      </c>
      <c r="G11" s="10" t="s">
        <v>304</v>
      </c>
      <c r="H11" s="10" t="s">
        <v>364</v>
      </c>
      <c r="I11" s="10" t="s">
        <v>365</v>
      </c>
      <c r="J11" s="1" t="str">
        <f t="shared" si="2"/>
        <v>1,003</v>
      </c>
      <c r="K11" s="1" t="str">
        <f t="shared" si="3"/>
        <v>-12,852</v>
      </c>
      <c r="L11" s="1" t="str">
        <f t="shared" si="4"/>
        <v>-</v>
      </c>
      <c r="M11" s="1" t="str">
        <f t="shared" si="5"/>
        <v>-</v>
      </c>
      <c r="N11" s="1" t="str">
        <f t="shared" si="6"/>
        <v>22,80</v>
      </c>
      <c r="O11" s="28" t="str">
        <f t="shared" si="7"/>
        <v>10,90</v>
      </c>
      <c r="R11" s="79">
        <v>7</v>
      </c>
      <c r="S11" s="73" t="s">
        <v>30</v>
      </c>
      <c r="T11" s="8" t="s">
        <v>366</v>
      </c>
      <c r="U11" s="8" t="s">
        <v>367</v>
      </c>
      <c r="V11" s="8" t="s">
        <v>309</v>
      </c>
      <c r="W11" s="8" t="s">
        <v>330</v>
      </c>
      <c r="X11" s="8" t="s">
        <v>368</v>
      </c>
      <c r="Y11" s="8" t="s">
        <v>369</v>
      </c>
      <c r="Z11" s="6" t="str">
        <f t="shared" si="8"/>
        <v>1,0026</v>
      </c>
      <c r="AA11" s="6" t="str">
        <f t="shared" si="9"/>
        <v>-12,8523</v>
      </c>
      <c r="AB11" s="6" t="str">
        <f t="shared" si="10"/>
        <v>0,000</v>
      </c>
      <c r="AC11" s="6">
        <v>0</v>
      </c>
      <c r="AD11" s="71">
        <v>22.8</v>
      </c>
      <c r="AE11" s="85">
        <v>10.9</v>
      </c>
      <c r="AF11" s="136" t="e">
        <f t="shared" si="12"/>
        <v>#VALUE!</v>
      </c>
      <c r="AG11" s="136">
        <f t="shared" si="13"/>
        <v>-10.9</v>
      </c>
      <c r="AI11" s="144" t="s">
        <v>361</v>
      </c>
      <c r="AJ11" s="145" t="s">
        <v>370</v>
      </c>
      <c r="AL11" s="36">
        <f>Nodos!L10*1.1</f>
        <v>145.20000000000002</v>
      </c>
      <c r="AM11">
        <f>Nodos!L10*0.9</f>
        <v>118.8</v>
      </c>
      <c r="AN11" s="33">
        <f>Z11*'DATOS ESPERADOS'!K7</f>
        <v>1323432</v>
      </c>
      <c r="AQ11" s="36">
        <v>7</v>
      </c>
      <c r="AR11">
        <v>1.0025999999999999</v>
      </c>
      <c r="AS11" s="28">
        <v>-12.8523</v>
      </c>
      <c r="AT11">
        <f>AR11*'DATOS ESPERADOS'!K7</f>
        <v>132.3432</v>
      </c>
      <c r="AU11" s="1">
        <v>-12.8523</v>
      </c>
      <c r="AV11" s="45">
        <v>4</v>
      </c>
      <c r="AW11" s="46">
        <v>6</v>
      </c>
      <c r="AX11" s="42" t="str">
        <f>[1]Sheet1!$F$5</f>
        <v>(-6.413123730174556+22.31120356548123j)</v>
      </c>
      <c r="AZ11" s="1">
        <v>7</v>
      </c>
      <c r="BA11" s="65">
        <v>4</v>
      </c>
      <c r="BB11" s="8">
        <v>6</v>
      </c>
      <c r="BC11" s="8">
        <v>72.142290000000003</v>
      </c>
      <c r="BD11" s="8">
        <v>-15.8544</v>
      </c>
      <c r="BE11" s="8">
        <v>-71.510390000000001</v>
      </c>
      <c r="BF11" s="8">
        <v>17.132020000000001</v>
      </c>
      <c r="BG11" s="123">
        <v>0.63200000000000001</v>
      </c>
      <c r="BH11" s="124">
        <v>2.2000000000000002</v>
      </c>
    </row>
    <row r="12" spans="2:60" ht="15">
      <c r="B12" s="27">
        <v>8</v>
      </c>
      <c r="C12" s="10" t="s">
        <v>26</v>
      </c>
      <c r="D12" s="10" t="s">
        <v>345</v>
      </c>
      <c r="E12" s="10" t="s">
        <v>371</v>
      </c>
      <c r="F12" s="10" t="s">
        <v>347</v>
      </c>
      <c r="G12" s="10" t="s">
        <v>372</v>
      </c>
      <c r="H12" s="10" t="s">
        <v>373</v>
      </c>
      <c r="I12" s="10" t="s">
        <v>373</v>
      </c>
      <c r="J12" s="1" t="str">
        <f t="shared" si="2"/>
        <v>1,010</v>
      </c>
      <c r="K12" s="1" t="str">
        <f t="shared" si="3"/>
        <v>-11,797</v>
      </c>
      <c r="L12" s="1" t="str">
        <f t="shared" si="4"/>
        <v>0,00</v>
      </c>
      <c r="M12" s="1" t="str">
        <f t="shared" si="5"/>
        <v>36,11</v>
      </c>
      <c r="N12" s="1" t="str">
        <f t="shared" si="6"/>
        <v>30,00</v>
      </c>
      <c r="O12" s="28" t="str">
        <f t="shared" si="7"/>
        <v>30,00</v>
      </c>
      <c r="R12" s="79">
        <v>8</v>
      </c>
      <c r="S12" s="73" t="s">
        <v>26</v>
      </c>
      <c r="T12" s="8" t="s">
        <v>351</v>
      </c>
      <c r="U12" s="8" t="s">
        <v>374</v>
      </c>
      <c r="V12" s="8" t="s">
        <v>309</v>
      </c>
      <c r="W12" s="8" t="s">
        <v>375</v>
      </c>
      <c r="X12" s="8" t="s">
        <v>376</v>
      </c>
      <c r="Y12" s="8" t="s">
        <v>376</v>
      </c>
      <c r="Z12" s="6" t="str">
        <f t="shared" si="8"/>
        <v>1,0100</v>
      </c>
      <c r="AA12" s="6" t="str">
        <f t="shared" si="9"/>
        <v>-11,7974</v>
      </c>
      <c r="AB12" s="6" t="str">
        <f t="shared" si="10"/>
        <v>0,000</v>
      </c>
      <c r="AC12" s="6" t="str">
        <f t="shared" si="11"/>
        <v>36,111</v>
      </c>
      <c r="AD12" s="71">
        <v>30</v>
      </c>
      <c r="AE12" s="85">
        <v>30</v>
      </c>
      <c r="AF12" s="136" t="e">
        <f t="shared" si="12"/>
        <v>#VALUE!</v>
      </c>
      <c r="AG12" s="136">
        <f t="shared" si="13"/>
        <v>36081</v>
      </c>
      <c r="AI12" s="144" t="s">
        <v>310</v>
      </c>
      <c r="AJ12" s="145" t="s">
        <v>344</v>
      </c>
      <c r="AL12" s="36">
        <f>Nodos!L11*1.1</f>
        <v>145.20000000000002</v>
      </c>
      <c r="AM12">
        <f>Nodos!L11*0.9</f>
        <v>118.8</v>
      </c>
      <c r="AN12" s="33">
        <f>Z12*'DATOS ESPERADOS'!K8</f>
        <v>1333200</v>
      </c>
      <c r="AQ12" s="36">
        <v>8</v>
      </c>
      <c r="AR12">
        <v>1.01</v>
      </c>
      <c r="AS12" s="28">
        <v>-11.7974</v>
      </c>
      <c r="AT12">
        <f>AR12*'DATOS ESPERADOS'!K8</f>
        <v>133.32</v>
      </c>
      <c r="AU12" s="1">
        <v>-11.7974</v>
      </c>
      <c r="AV12" s="45">
        <v>5</v>
      </c>
      <c r="AW12" s="46">
        <v>7</v>
      </c>
      <c r="AX12" s="42" t="str">
        <f>[1]Sheet1!$G$6</f>
        <v>(-2.954020035961983+7.449267916773697j)</v>
      </c>
      <c r="AZ12" s="1">
        <v>8</v>
      </c>
      <c r="BA12" s="65">
        <v>4</v>
      </c>
      <c r="BB12" s="8">
        <v>12</v>
      </c>
      <c r="BC12" s="8">
        <v>41.186729999999997</v>
      </c>
      <c r="BD12" s="8">
        <v>13.445270000000001</v>
      </c>
      <c r="BE12" s="8">
        <v>-44.191769999999998</v>
      </c>
      <c r="BF12" s="8">
        <v>-9.7368900000000007</v>
      </c>
      <c r="BG12" s="123">
        <v>0.16900000000000001</v>
      </c>
      <c r="BH12" s="124">
        <v>0.43</v>
      </c>
    </row>
    <row r="13" spans="2:60" ht="15">
      <c r="B13" s="27">
        <v>9</v>
      </c>
      <c r="C13" s="10" t="s">
        <v>30</v>
      </c>
      <c r="D13" s="10" t="s">
        <v>377</v>
      </c>
      <c r="E13" s="10" t="s">
        <v>378</v>
      </c>
      <c r="F13" s="10" t="s">
        <v>304</v>
      </c>
      <c r="G13" s="10" t="s">
        <v>304</v>
      </c>
      <c r="H13" s="10" t="s">
        <v>304</v>
      </c>
      <c r="I13" s="10" t="s">
        <v>304</v>
      </c>
      <c r="J13" s="1" t="str">
        <f t="shared" si="2"/>
        <v>1,051</v>
      </c>
      <c r="K13" s="1" t="str">
        <f t="shared" si="3"/>
        <v>-14,098</v>
      </c>
      <c r="L13" s="1" t="str">
        <f t="shared" si="4"/>
        <v>-</v>
      </c>
      <c r="M13" s="1" t="str">
        <f t="shared" si="5"/>
        <v>-</v>
      </c>
      <c r="N13" s="1" t="str">
        <f t="shared" si="6"/>
        <v>-</v>
      </c>
      <c r="O13" s="28" t="str">
        <f t="shared" si="7"/>
        <v>-</v>
      </c>
      <c r="R13" s="79">
        <v>9</v>
      </c>
      <c r="S13" s="73" t="s">
        <v>30</v>
      </c>
      <c r="T13" s="8" t="s">
        <v>379</v>
      </c>
      <c r="U13" s="8" t="s">
        <v>380</v>
      </c>
      <c r="V13" s="8" t="s">
        <v>309</v>
      </c>
      <c r="W13" s="8" t="s">
        <v>330</v>
      </c>
      <c r="X13" s="8" t="s">
        <v>309</v>
      </c>
      <c r="Y13" s="8" t="s">
        <v>309</v>
      </c>
      <c r="Z13" s="6" t="str">
        <f t="shared" si="8"/>
        <v>1,0511</v>
      </c>
      <c r="AA13" s="6" t="str">
        <f t="shared" si="9"/>
        <v>-14,0980</v>
      </c>
      <c r="AB13" s="6" t="str">
        <f t="shared" si="10"/>
        <v>0,000</v>
      </c>
      <c r="AC13" s="6">
        <v>0</v>
      </c>
      <c r="AD13" s="71">
        <v>0</v>
      </c>
      <c r="AE13" s="85">
        <v>0</v>
      </c>
      <c r="AF13" s="136" t="e">
        <f t="shared" si="12"/>
        <v>#VALUE!</v>
      </c>
      <c r="AG13" s="136">
        <f t="shared" si="13"/>
        <v>0</v>
      </c>
      <c r="AI13" s="144" t="s">
        <v>381</v>
      </c>
      <c r="AJ13" s="145">
        <v>0</v>
      </c>
      <c r="AL13" s="36">
        <f>Nodos!L12*1.1</f>
        <v>1.1000000000000001</v>
      </c>
      <c r="AM13">
        <f>Nodos!L12*0.9</f>
        <v>0.9</v>
      </c>
      <c r="AN13" s="33">
        <f>Z13*'DATOS ESPERADOS'!K9</f>
        <v>10511</v>
      </c>
      <c r="AQ13" s="36">
        <v>9</v>
      </c>
      <c r="AR13">
        <v>1.0510999999999999</v>
      </c>
      <c r="AS13" s="28">
        <v>-14.098000000000001</v>
      </c>
      <c r="AT13">
        <f>AR13*'DATOS ESPERADOS'!K9</f>
        <v>1.0510999999999999</v>
      </c>
      <c r="AU13" s="1">
        <v>-14.098000000000001</v>
      </c>
      <c r="AV13" s="45">
        <v>6</v>
      </c>
      <c r="AW13" s="46">
        <v>7</v>
      </c>
      <c r="AX13" s="42" t="str">
        <f>[1]Sheet1!$G$7</f>
        <v>(-3.590210423980992+11.02611441072814j)</v>
      </c>
      <c r="AZ13" s="1">
        <v>9</v>
      </c>
      <c r="BA13" s="65">
        <v>5</v>
      </c>
      <c r="BB13" s="8">
        <v>7</v>
      </c>
      <c r="BC13" s="8">
        <v>-14.78331</v>
      </c>
      <c r="BD13" s="8">
        <v>11.488429999999999</v>
      </c>
      <c r="BE13" s="8">
        <v>14.952640000000001</v>
      </c>
      <c r="BF13" s="8">
        <v>-13.127219999999999</v>
      </c>
      <c r="BG13" s="123">
        <v>0.38100000000000001</v>
      </c>
      <c r="BH13" s="124">
        <v>1.17</v>
      </c>
    </row>
    <row r="14" spans="2:60" ht="15">
      <c r="B14" s="27">
        <v>10</v>
      </c>
      <c r="C14" s="10" t="s">
        <v>30</v>
      </c>
      <c r="D14" s="10" t="s">
        <v>311</v>
      </c>
      <c r="E14" s="10" t="s">
        <v>382</v>
      </c>
      <c r="F14" s="10" t="s">
        <v>304</v>
      </c>
      <c r="G14" s="10" t="s">
        <v>304</v>
      </c>
      <c r="H14" s="10" t="s">
        <v>383</v>
      </c>
      <c r="I14" s="10" t="s">
        <v>384</v>
      </c>
      <c r="J14" s="1" t="str">
        <f t="shared" si="2"/>
        <v>1,045</v>
      </c>
      <c r="K14" s="1" t="str">
        <f t="shared" si="3"/>
        <v>-15,688</v>
      </c>
      <c r="L14" s="1" t="str">
        <f t="shared" si="4"/>
        <v>-</v>
      </c>
      <c r="M14" s="1" t="str">
        <f t="shared" si="5"/>
        <v>-</v>
      </c>
      <c r="N14" s="1" t="str">
        <f t="shared" si="6"/>
        <v>5,80</v>
      </c>
      <c r="O14" s="28" t="str">
        <f t="shared" si="7"/>
        <v>2,00</v>
      </c>
      <c r="R14" s="79">
        <v>10</v>
      </c>
      <c r="S14" s="73" t="s">
        <v>30</v>
      </c>
      <c r="T14" s="8" t="s">
        <v>385</v>
      </c>
      <c r="U14" s="8" t="s">
        <v>386</v>
      </c>
      <c r="V14" s="8" t="s">
        <v>309</v>
      </c>
      <c r="W14" s="8" t="s">
        <v>330</v>
      </c>
      <c r="X14" s="8" t="s">
        <v>387</v>
      </c>
      <c r="Y14" s="8" t="s">
        <v>388</v>
      </c>
      <c r="Z14" s="6" t="str">
        <f t="shared" si="8"/>
        <v>1,0454</v>
      </c>
      <c r="AA14" s="6" t="str">
        <f t="shared" si="9"/>
        <v>-15,6882</v>
      </c>
      <c r="AB14" s="6" t="str">
        <f t="shared" si="10"/>
        <v>0,000</v>
      </c>
      <c r="AC14" s="6">
        <v>0</v>
      </c>
      <c r="AD14" s="71">
        <v>5.8</v>
      </c>
      <c r="AE14" s="85">
        <v>2</v>
      </c>
      <c r="AF14" s="136" t="e">
        <f t="shared" si="12"/>
        <v>#VALUE!</v>
      </c>
      <c r="AG14" s="136">
        <f t="shared" si="13"/>
        <v>-2</v>
      </c>
      <c r="AI14" s="144" t="s">
        <v>361</v>
      </c>
      <c r="AJ14" s="145" t="s">
        <v>323</v>
      </c>
      <c r="AL14" s="36">
        <f>Nodos!L13*1.1</f>
        <v>36.300000000000004</v>
      </c>
      <c r="AM14">
        <f>Nodos!L13*0.9</f>
        <v>29.7</v>
      </c>
      <c r="AN14" s="33">
        <f>Z14*'DATOS ESPERADOS'!K10</f>
        <v>344982</v>
      </c>
      <c r="AQ14" s="36">
        <v>10</v>
      </c>
      <c r="AR14">
        <v>1.0454000000000001</v>
      </c>
      <c r="AS14" s="28">
        <v>-15.6882</v>
      </c>
      <c r="AT14">
        <f>AR14*'DATOS ESPERADOS'!K10</f>
        <v>34.498200000000004</v>
      </c>
      <c r="AU14" s="1">
        <v>-15.6882</v>
      </c>
      <c r="AV14" s="45">
        <v>6</v>
      </c>
      <c r="AW14" s="46">
        <v>8</v>
      </c>
      <c r="AX14" s="42" t="str">
        <f>[1]Sheet1!$H$7</f>
        <v>(-6.289308176100628+22.0125786163522j)</v>
      </c>
      <c r="AZ14" s="1">
        <v>10</v>
      </c>
      <c r="BA14" s="65">
        <v>6</v>
      </c>
      <c r="BB14" s="8">
        <v>7</v>
      </c>
      <c r="BC14" s="8">
        <v>38.120939999999997</v>
      </c>
      <c r="BD14" s="8">
        <v>-2.8132600000000001</v>
      </c>
      <c r="BE14" s="8">
        <v>-37.74004</v>
      </c>
      <c r="BF14" s="8">
        <v>2.2605200000000001</v>
      </c>
      <c r="BG14" s="123">
        <v>0.108</v>
      </c>
      <c r="BH14" s="124">
        <v>0.38</v>
      </c>
    </row>
    <row r="15" spans="2:60" ht="15">
      <c r="B15" s="27">
        <v>11</v>
      </c>
      <c r="C15" s="10" t="s">
        <v>26</v>
      </c>
      <c r="D15" s="10" t="s">
        <v>389</v>
      </c>
      <c r="E15" s="10" t="s">
        <v>378</v>
      </c>
      <c r="F15" s="10" t="s">
        <v>347</v>
      </c>
      <c r="G15" s="10" t="s">
        <v>390</v>
      </c>
      <c r="H15" s="10" t="s">
        <v>304</v>
      </c>
      <c r="I15" s="10" t="s">
        <v>304</v>
      </c>
      <c r="J15" s="1" t="str">
        <f t="shared" si="2"/>
        <v>1,082</v>
      </c>
      <c r="K15" s="1" t="str">
        <f t="shared" si="3"/>
        <v>-14,098</v>
      </c>
      <c r="L15" s="1" t="str">
        <f t="shared" si="4"/>
        <v>0,00</v>
      </c>
      <c r="M15" s="1" t="str">
        <f t="shared" si="5"/>
        <v>16,06</v>
      </c>
      <c r="N15" s="1" t="str">
        <f t="shared" si="6"/>
        <v>-</v>
      </c>
      <c r="O15" s="28" t="str">
        <f t="shared" si="7"/>
        <v>-</v>
      </c>
      <c r="R15" s="79">
        <v>11</v>
      </c>
      <c r="S15" s="73" t="s">
        <v>26</v>
      </c>
      <c r="T15" s="8" t="s">
        <v>391</v>
      </c>
      <c r="U15" s="8" t="s">
        <v>380</v>
      </c>
      <c r="V15" s="8" t="s">
        <v>309</v>
      </c>
      <c r="W15" s="8" t="s">
        <v>392</v>
      </c>
      <c r="X15" s="8" t="s">
        <v>309</v>
      </c>
      <c r="Y15" s="8" t="s">
        <v>309</v>
      </c>
      <c r="Z15" s="6" t="str">
        <f t="shared" si="8"/>
        <v>1,0820</v>
      </c>
      <c r="AA15" s="6" t="str">
        <f t="shared" si="9"/>
        <v>-14,0980</v>
      </c>
      <c r="AB15" s="6" t="str">
        <f t="shared" si="10"/>
        <v>0,000</v>
      </c>
      <c r="AC15" s="6" t="str">
        <f t="shared" si="11"/>
        <v>16,057</v>
      </c>
      <c r="AD15" s="71">
        <v>0</v>
      </c>
      <c r="AE15" s="85">
        <v>0</v>
      </c>
      <c r="AF15" s="136" t="e">
        <f t="shared" si="12"/>
        <v>#VALUE!</v>
      </c>
      <c r="AG15" s="136">
        <f t="shared" si="13"/>
        <v>16057</v>
      </c>
      <c r="AI15" s="144" t="s">
        <v>310</v>
      </c>
      <c r="AJ15" s="145">
        <v>0</v>
      </c>
      <c r="AL15" s="36">
        <f>Nodos!L14*1.1</f>
        <v>12.100000000000001</v>
      </c>
      <c r="AM15">
        <f>Nodos!L14*0.9</f>
        <v>9.9</v>
      </c>
      <c r="AN15" s="33">
        <f>Z15*'DATOS ESPERADOS'!K11</f>
        <v>119020</v>
      </c>
      <c r="AQ15" s="36">
        <v>11</v>
      </c>
      <c r="AR15">
        <v>1.0820000000000001</v>
      </c>
      <c r="AS15" s="28">
        <v>-14.098000000000001</v>
      </c>
      <c r="AT15">
        <f>AR15*'DATOS ESPERADOS'!K11</f>
        <v>11.902000000000001</v>
      </c>
      <c r="AU15" s="1">
        <v>-14.098000000000001</v>
      </c>
      <c r="AV15" s="45">
        <v>6</v>
      </c>
      <c r="AW15" s="46">
        <v>9</v>
      </c>
      <c r="AX15" s="42" t="str">
        <f>[1]Sheet1!$I$7</f>
        <v>4.915840805411357j</v>
      </c>
      <c r="AZ15" s="1">
        <v>11</v>
      </c>
      <c r="BA15" s="65">
        <v>6</v>
      </c>
      <c r="BB15" s="8">
        <v>8</v>
      </c>
      <c r="BC15" s="8">
        <v>29.547429999999999</v>
      </c>
      <c r="BD15" s="8">
        <v>-7.2539899999999999</v>
      </c>
      <c r="BE15" s="8">
        <v>-29.439430000000002</v>
      </c>
      <c r="BF15" s="8">
        <v>6.7133700000000003</v>
      </c>
      <c r="BG15" s="123">
        <v>0</v>
      </c>
      <c r="BH15" s="124">
        <v>1.62</v>
      </c>
    </row>
    <row r="16" spans="2:60" ht="15">
      <c r="B16" s="27">
        <v>12</v>
      </c>
      <c r="C16" s="10" t="s">
        <v>30</v>
      </c>
      <c r="D16" s="10" t="s">
        <v>393</v>
      </c>
      <c r="E16" s="10" t="s">
        <v>394</v>
      </c>
      <c r="F16" s="10" t="s">
        <v>304</v>
      </c>
      <c r="G16" s="10" t="s">
        <v>304</v>
      </c>
      <c r="H16" s="10" t="s">
        <v>395</v>
      </c>
      <c r="I16" s="10" t="s">
        <v>396</v>
      </c>
      <c r="J16" s="1" t="str">
        <f t="shared" si="2"/>
        <v>1,057</v>
      </c>
      <c r="K16" s="1" t="str">
        <f t="shared" si="3"/>
        <v>-14,933</v>
      </c>
      <c r="L16" s="1" t="str">
        <f t="shared" si="4"/>
        <v>-</v>
      </c>
      <c r="M16" s="1" t="str">
        <f t="shared" si="5"/>
        <v>-</v>
      </c>
      <c r="N16" s="1" t="str">
        <f t="shared" si="6"/>
        <v>11,20</v>
      </c>
      <c r="O16" s="28" t="str">
        <f t="shared" si="7"/>
        <v>7,50</v>
      </c>
      <c r="R16" s="79">
        <v>12</v>
      </c>
      <c r="S16" s="73" t="s">
        <v>30</v>
      </c>
      <c r="T16" s="8" t="s">
        <v>397</v>
      </c>
      <c r="U16" s="8" t="s">
        <v>398</v>
      </c>
      <c r="V16" s="8" t="s">
        <v>309</v>
      </c>
      <c r="W16" s="8" t="s">
        <v>330</v>
      </c>
      <c r="X16" s="8" t="s">
        <v>399</v>
      </c>
      <c r="Y16" s="8" t="s">
        <v>400</v>
      </c>
      <c r="Z16" s="6" t="str">
        <f t="shared" si="8"/>
        <v>1,0573</v>
      </c>
      <c r="AA16" s="6" t="str">
        <f t="shared" si="9"/>
        <v>-14,9329</v>
      </c>
      <c r="AB16" s="6" t="str">
        <f t="shared" si="10"/>
        <v>0,000</v>
      </c>
      <c r="AC16" s="6">
        <v>0</v>
      </c>
      <c r="AD16" s="71">
        <v>11.2</v>
      </c>
      <c r="AE16" s="85">
        <v>7.5</v>
      </c>
      <c r="AF16" s="136" t="e">
        <f t="shared" si="12"/>
        <v>#VALUE!</v>
      </c>
      <c r="AG16" s="136">
        <f t="shared" si="13"/>
        <v>-7.5</v>
      </c>
      <c r="AI16" s="144" t="s">
        <v>343</v>
      </c>
      <c r="AJ16" s="147">
        <v>-1E-4</v>
      </c>
      <c r="AL16" s="36">
        <f>Nodos!L15*1.1</f>
        <v>36.300000000000004</v>
      </c>
      <c r="AM16">
        <f>Nodos!L15*0.9</f>
        <v>29.7</v>
      </c>
      <c r="AN16" s="33">
        <f>Z16*'DATOS ESPERADOS'!K12</f>
        <v>348909</v>
      </c>
      <c r="AQ16" s="36">
        <v>12</v>
      </c>
      <c r="AR16">
        <v>1.0572999999999999</v>
      </c>
      <c r="AS16" s="28">
        <v>-14.9329</v>
      </c>
      <c r="AT16">
        <f>AR16*'DATOS ESPERADOS'!K12</f>
        <v>34.890899999999995</v>
      </c>
      <c r="AU16" s="1">
        <v>-14.9329</v>
      </c>
      <c r="AV16" s="45">
        <v>6</v>
      </c>
      <c r="AW16" s="46">
        <v>10</v>
      </c>
      <c r="AX16" s="42" t="str">
        <f>[1]Sheet1!$J$7</f>
        <v>1.8561002591115963j</v>
      </c>
      <c r="AZ16" s="1">
        <v>12</v>
      </c>
      <c r="BA16" s="65">
        <v>6</v>
      </c>
      <c r="BB16" s="8">
        <v>9</v>
      </c>
      <c r="BC16" s="8">
        <v>27.11035</v>
      </c>
      <c r="BD16" s="8">
        <v>-7.9121199999999998</v>
      </c>
      <c r="BE16" s="8">
        <v>-27.720189999999999</v>
      </c>
      <c r="BF16" s="8">
        <v>9.7144300000000001</v>
      </c>
      <c r="BG16" s="123">
        <v>0</v>
      </c>
      <c r="BH16" s="124">
        <v>1.28</v>
      </c>
    </row>
    <row r="17" spans="2:60" ht="15">
      <c r="B17" s="27">
        <v>13</v>
      </c>
      <c r="C17" s="10" t="s">
        <v>26</v>
      </c>
      <c r="D17" s="10" t="s">
        <v>401</v>
      </c>
      <c r="E17" s="10" t="s">
        <v>394</v>
      </c>
      <c r="F17" s="10" t="s">
        <v>347</v>
      </c>
      <c r="G17" s="10" t="s">
        <v>402</v>
      </c>
      <c r="H17" s="10" t="s">
        <v>304</v>
      </c>
      <c r="I17" s="10" t="s">
        <v>304</v>
      </c>
      <c r="J17" s="1" t="str">
        <f t="shared" si="2"/>
        <v>1,071</v>
      </c>
      <c r="K17" s="1" t="str">
        <f t="shared" si="3"/>
        <v>-14,933</v>
      </c>
      <c r="L17" s="1" t="str">
        <f t="shared" si="4"/>
        <v>0,00</v>
      </c>
      <c r="M17" s="1" t="str">
        <f t="shared" si="5"/>
        <v>10,45</v>
      </c>
      <c r="N17" s="1" t="str">
        <f t="shared" si="6"/>
        <v>-</v>
      </c>
      <c r="O17" s="28" t="str">
        <f t="shared" si="7"/>
        <v>-</v>
      </c>
      <c r="R17" s="79">
        <v>13</v>
      </c>
      <c r="S17" s="73" t="s">
        <v>26</v>
      </c>
      <c r="T17" s="8" t="s">
        <v>403</v>
      </c>
      <c r="U17" s="8" t="s">
        <v>398</v>
      </c>
      <c r="V17" s="8" t="s">
        <v>309</v>
      </c>
      <c r="W17" s="8" t="s">
        <v>404</v>
      </c>
      <c r="X17" s="8" t="s">
        <v>309</v>
      </c>
      <c r="Y17" s="8" t="s">
        <v>309</v>
      </c>
      <c r="Z17" s="6" t="str">
        <f t="shared" si="8"/>
        <v>1,0710</v>
      </c>
      <c r="AA17" s="6" t="str">
        <f t="shared" si="9"/>
        <v>-14,9329</v>
      </c>
      <c r="AB17" s="6" t="str">
        <f t="shared" si="10"/>
        <v>0,000</v>
      </c>
      <c r="AC17" s="6" t="str">
        <f t="shared" si="11"/>
        <v>10,451</v>
      </c>
      <c r="AD17" s="71">
        <v>0</v>
      </c>
      <c r="AE17" s="85">
        <v>0</v>
      </c>
      <c r="AF17" s="136" t="e">
        <f t="shared" si="12"/>
        <v>#VALUE!</v>
      </c>
      <c r="AG17" s="136">
        <f t="shared" si="13"/>
        <v>10451</v>
      </c>
      <c r="AI17" s="144" t="s">
        <v>310</v>
      </c>
      <c r="AJ17" s="147">
        <v>-1E-4</v>
      </c>
      <c r="AL17" s="36">
        <f>Nodos!L16*1.1</f>
        <v>12.100000000000001</v>
      </c>
      <c r="AM17">
        <f>Nodos!L16*0.9</f>
        <v>9.9</v>
      </c>
      <c r="AN17" s="33">
        <f>Z17*'DATOS ESPERADOS'!K13</f>
        <v>117810</v>
      </c>
      <c r="AQ17" s="36">
        <v>13</v>
      </c>
      <c r="AR17">
        <v>1.071</v>
      </c>
      <c r="AS17" s="28">
        <v>-14.9329</v>
      </c>
      <c r="AT17">
        <f>AR17*'DATOS ESPERADOS'!K13</f>
        <v>11.780999999999999</v>
      </c>
      <c r="AU17" s="1">
        <v>-14.9329</v>
      </c>
      <c r="AV17" s="45">
        <v>9</v>
      </c>
      <c r="AW17" s="46">
        <v>11</v>
      </c>
      <c r="AX17" s="42" t="str">
        <f>[1]Sheet1!$K$10</f>
        <v>4.8076923076923075j</v>
      </c>
      <c r="AZ17" s="1">
        <v>13</v>
      </c>
      <c r="BA17" s="65">
        <v>6</v>
      </c>
      <c r="BB17" s="8">
        <v>10</v>
      </c>
      <c r="BC17" s="8">
        <v>15.348710000000001</v>
      </c>
      <c r="BD17" s="8">
        <v>0.17212</v>
      </c>
      <c r="BE17" s="8">
        <v>-15.83975</v>
      </c>
      <c r="BF17" s="8">
        <v>1.10504</v>
      </c>
      <c r="BG17" s="123">
        <v>0</v>
      </c>
      <c r="BH17" s="124">
        <v>0.46</v>
      </c>
    </row>
    <row r="18" spans="2:60" ht="15">
      <c r="B18" s="27">
        <v>14</v>
      </c>
      <c r="C18" s="10" t="s">
        <v>30</v>
      </c>
      <c r="D18" s="10" t="s">
        <v>405</v>
      </c>
      <c r="E18" s="10" t="s">
        <v>406</v>
      </c>
      <c r="F18" s="10" t="s">
        <v>304</v>
      </c>
      <c r="G18" s="10" t="s">
        <v>304</v>
      </c>
      <c r="H18" s="10" t="s">
        <v>407</v>
      </c>
      <c r="I18" s="10" t="s">
        <v>338</v>
      </c>
      <c r="J18" s="1" t="str">
        <f t="shared" si="2"/>
        <v>1,043</v>
      </c>
      <c r="K18" s="1" t="str">
        <f t="shared" si="3"/>
        <v>-15,825</v>
      </c>
      <c r="L18" s="1" t="str">
        <f t="shared" si="4"/>
        <v>-</v>
      </c>
      <c r="M18" s="1" t="str">
        <f t="shared" si="5"/>
        <v>-</v>
      </c>
      <c r="N18" s="1" t="str">
        <f t="shared" si="6"/>
        <v>6,20</v>
      </c>
      <c r="O18" s="28" t="str">
        <f t="shared" si="7"/>
        <v>1,60</v>
      </c>
      <c r="R18" s="79">
        <v>14</v>
      </c>
      <c r="S18" s="73" t="s">
        <v>30</v>
      </c>
      <c r="T18" s="8" t="s">
        <v>408</v>
      </c>
      <c r="U18" s="8" t="s">
        <v>409</v>
      </c>
      <c r="V18" s="8" t="s">
        <v>309</v>
      </c>
      <c r="W18" s="8" t="s">
        <v>330</v>
      </c>
      <c r="X18" s="8" t="s">
        <v>410</v>
      </c>
      <c r="Y18" s="8" t="s">
        <v>342</v>
      </c>
      <c r="Z18" s="6" t="str">
        <f t="shared" si="8"/>
        <v>1,0425</v>
      </c>
      <c r="AA18" s="6" t="str">
        <f t="shared" si="9"/>
        <v>-15,8245</v>
      </c>
      <c r="AB18" s="6" t="str">
        <f t="shared" si="10"/>
        <v>0,000</v>
      </c>
      <c r="AC18" s="6">
        <v>0</v>
      </c>
      <c r="AD18" s="71">
        <v>6.2</v>
      </c>
      <c r="AE18" s="85">
        <v>1.6</v>
      </c>
      <c r="AF18" s="136" t="e">
        <f t="shared" si="12"/>
        <v>#VALUE!</v>
      </c>
      <c r="AG18" s="136">
        <f t="shared" si="13"/>
        <v>-1.6</v>
      </c>
      <c r="AI18" s="144" t="s">
        <v>411</v>
      </c>
      <c r="AJ18" s="146" t="s">
        <v>412</v>
      </c>
      <c r="AL18" s="36">
        <f>Nodos!L17*1.1</f>
        <v>36.300000000000004</v>
      </c>
      <c r="AM18">
        <f>Nodos!L17*0.9</f>
        <v>29.7</v>
      </c>
      <c r="AN18" s="33">
        <f>Z18*'DATOS ESPERADOS'!K14</f>
        <v>344025</v>
      </c>
      <c r="AQ18" s="36">
        <v>14</v>
      </c>
      <c r="AR18">
        <v>1.0425</v>
      </c>
      <c r="AS18" s="28">
        <v>-15.8245</v>
      </c>
      <c r="AT18">
        <f>AR18*'DATOS ESPERADOS'!K14</f>
        <v>34.402499999999996</v>
      </c>
      <c r="AU18" s="1">
        <v>-15.8245</v>
      </c>
      <c r="AV18" s="45">
        <v>9</v>
      </c>
      <c r="AW18" s="46">
        <v>10</v>
      </c>
      <c r="AX18" s="42" t="str">
        <f>[1]Sheet1!$J$10</f>
        <v>9.090909090909092j</v>
      </c>
      <c r="AZ18" s="1">
        <v>14</v>
      </c>
      <c r="BA18" s="65">
        <v>6</v>
      </c>
      <c r="BB18" s="8">
        <v>28</v>
      </c>
      <c r="BC18" s="8">
        <v>18.662849999999999</v>
      </c>
      <c r="BD18" s="8">
        <v>7.5899999999999995E-2</v>
      </c>
      <c r="BE18" s="8">
        <v>-18.605119999999999</v>
      </c>
      <c r="BF18" s="8">
        <v>-1.19441</v>
      </c>
      <c r="BG18" s="123">
        <v>0</v>
      </c>
      <c r="BH18" s="124">
        <v>0.8</v>
      </c>
    </row>
    <row r="19" spans="2:60" ht="15">
      <c r="B19" s="27">
        <v>15</v>
      </c>
      <c r="C19" s="10" t="s">
        <v>30</v>
      </c>
      <c r="D19" s="10" t="s">
        <v>413</v>
      </c>
      <c r="E19" s="10" t="s">
        <v>414</v>
      </c>
      <c r="F19" s="10" t="s">
        <v>304</v>
      </c>
      <c r="G19" s="10" t="s">
        <v>304</v>
      </c>
      <c r="H19" s="10" t="s">
        <v>415</v>
      </c>
      <c r="I19" s="10" t="s">
        <v>416</v>
      </c>
      <c r="J19" s="1" t="str">
        <f t="shared" si="2"/>
        <v>1,038</v>
      </c>
      <c r="K19" s="1" t="str">
        <f t="shared" si="3"/>
        <v>-15,916</v>
      </c>
      <c r="L19" s="1" t="str">
        <f t="shared" si="4"/>
        <v>-</v>
      </c>
      <c r="M19" s="1" t="str">
        <f t="shared" si="5"/>
        <v>-</v>
      </c>
      <c r="N19" s="1" t="str">
        <f t="shared" si="6"/>
        <v>8,20</v>
      </c>
      <c r="O19" s="28" t="str">
        <f t="shared" si="7"/>
        <v>2,50</v>
      </c>
      <c r="R19" s="79">
        <v>15</v>
      </c>
      <c r="S19" s="73" t="s">
        <v>30</v>
      </c>
      <c r="T19" s="8" t="s">
        <v>417</v>
      </c>
      <c r="U19" s="8" t="s">
        <v>418</v>
      </c>
      <c r="V19" s="8" t="s">
        <v>309</v>
      </c>
      <c r="W19" s="8" t="s">
        <v>330</v>
      </c>
      <c r="X19" s="8" t="s">
        <v>419</v>
      </c>
      <c r="Y19" s="8" t="s">
        <v>420</v>
      </c>
      <c r="Z19" s="6" t="str">
        <f t="shared" si="8"/>
        <v>1,0379</v>
      </c>
      <c r="AA19" s="6" t="str">
        <f t="shared" si="9"/>
        <v>-15,9164</v>
      </c>
      <c r="AB19" s="6" t="str">
        <f t="shared" si="10"/>
        <v>0,000</v>
      </c>
      <c r="AC19" s="6">
        <v>0</v>
      </c>
      <c r="AD19" s="71">
        <v>8.1999999999999993</v>
      </c>
      <c r="AE19" s="85">
        <v>2.5</v>
      </c>
      <c r="AF19" s="136" t="e">
        <f t="shared" si="12"/>
        <v>#VALUE!</v>
      </c>
      <c r="AG19" s="136">
        <f t="shared" si="13"/>
        <v>-2.5</v>
      </c>
      <c r="AI19" s="144" t="s">
        <v>381</v>
      </c>
      <c r="AJ19" s="145" t="s">
        <v>344</v>
      </c>
      <c r="AL19" s="36">
        <f>Nodos!L18*1.1</f>
        <v>36.300000000000004</v>
      </c>
      <c r="AM19">
        <f>Nodos!L18*0.9</f>
        <v>29.7</v>
      </c>
      <c r="AN19" s="33">
        <f>Z19*'DATOS ESPERADOS'!K15</f>
        <v>342507</v>
      </c>
      <c r="AQ19" s="36">
        <v>15</v>
      </c>
      <c r="AR19">
        <v>1.0379</v>
      </c>
      <c r="AS19" s="28">
        <v>-15.916399999999999</v>
      </c>
      <c r="AT19">
        <f>AR19*'DATOS ESPERADOS'!K15</f>
        <v>34.250700000000002</v>
      </c>
      <c r="AU19" s="1">
        <v>-15.916399999999999</v>
      </c>
      <c r="AV19" s="45">
        <v>4</v>
      </c>
      <c r="AW19" s="46">
        <v>12</v>
      </c>
      <c r="AX19" s="42" t="str">
        <f>[1]Sheet1!$L$5</f>
        <v>4.1912553648068664j</v>
      </c>
      <c r="AZ19" s="1">
        <v>15</v>
      </c>
      <c r="BA19" s="65">
        <v>8</v>
      </c>
      <c r="BB19" s="8">
        <v>28</v>
      </c>
      <c r="BC19" s="8">
        <v>-0.54490000000000005</v>
      </c>
      <c r="BD19" s="8">
        <v>-0.54412000000000005</v>
      </c>
      <c r="BE19" s="8">
        <v>0.54676000000000002</v>
      </c>
      <c r="BF19" s="8">
        <v>-3.8035399999999999</v>
      </c>
      <c r="BG19" s="123">
        <v>0</v>
      </c>
      <c r="BH19" s="124">
        <v>4.6900000000000004</v>
      </c>
    </row>
    <row r="20" spans="2:60" ht="15">
      <c r="B20" s="27">
        <v>16</v>
      </c>
      <c r="C20" s="10" t="s">
        <v>30</v>
      </c>
      <c r="D20" s="10" t="s">
        <v>311</v>
      </c>
      <c r="E20" s="10" t="s">
        <v>421</v>
      </c>
      <c r="F20" s="10" t="s">
        <v>304</v>
      </c>
      <c r="G20" s="10" t="s">
        <v>304</v>
      </c>
      <c r="H20" s="10" t="s">
        <v>422</v>
      </c>
      <c r="I20" s="10" t="s">
        <v>423</v>
      </c>
      <c r="J20" s="1" t="str">
        <f t="shared" si="2"/>
        <v>1,045</v>
      </c>
      <c r="K20" s="1" t="str">
        <f t="shared" si="3"/>
        <v>-15,515</v>
      </c>
      <c r="L20" s="1" t="str">
        <f t="shared" si="4"/>
        <v>-</v>
      </c>
      <c r="M20" s="1" t="str">
        <f t="shared" si="5"/>
        <v>-</v>
      </c>
      <c r="N20" s="1" t="str">
        <f t="shared" si="6"/>
        <v>3,50</v>
      </c>
      <c r="O20" s="28" t="str">
        <f t="shared" si="7"/>
        <v>1,80</v>
      </c>
      <c r="R20" s="79">
        <v>16</v>
      </c>
      <c r="S20" s="73" t="s">
        <v>30</v>
      </c>
      <c r="T20" s="8" t="s">
        <v>424</v>
      </c>
      <c r="U20" s="8" t="s">
        <v>425</v>
      </c>
      <c r="V20" s="8" t="s">
        <v>309</v>
      </c>
      <c r="W20" s="8" t="s">
        <v>330</v>
      </c>
      <c r="X20" s="8" t="s">
        <v>426</v>
      </c>
      <c r="Y20" s="8" t="s">
        <v>427</v>
      </c>
      <c r="Z20" s="6" t="str">
        <f t="shared" si="8"/>
        <v>1,0446</v>
      </c>
      <c r="AA20" s="6" t="str">
        <f t="shared" si="9"/>
        <v>-15,5154</v>
      </c>
      <c r="AB20" s="6" t="str">
        <f t="shared" si="10"/>
        <v>0,000</v>
      </c>
      <c r="AC20" s="6">
        <v>0</v>
      </c>
      <c r="AD20" s="71">
        <v>3.5</v>
      </c>
      <c r="AE20" s="85">
        <v>1.8</v>
      </c>
      <c r="AF20" s="136" t="e">
        <f t="shared" si="12"/>
        <v>#VALUE!</v>
      </c>
      <c r="AG20" s="136">
        <f t="shared" si="13"/>
        <v>-1.8</v>
      </c>
      <c r="AI20" s="144" t="s">
        <v>361</v>
      </c>
      <c r="AJ20" s="145" t="s">
        <v>344</v>
      </c>
      <c r="AL20" s="36">
        <f>Nodos!L19*1.1</f>
        <v>36.300000000000004</v>
      </c>
      <c r="AM20">
        <f>Nodos!L19*0.9</f>
        <v>29.7</v>
      </c>
      <c r="AN20" s="33">
        <f>Z20*'DATOS ESPERADOS'!K16</f>
        <v>344718</v>
      </c>
      <c r="AQ20" s="36">
        <v>16</v>
      </c>
      <c r="AR20">
        <v>1.0446</v>
      </c>
      <c r="AS20" s="28">
        <v>-15.5154</v>
      </c>
      <c r="AT20">
        <f>AR20*'DATOS ESPERADOS'!K16</f>
        <v>34.471800000000002</v>
      </c>
      <c r="AU20" s="1">
        <v>-15.5154</v>
      </c>
      <c r="AV20" s="45">
        <v>12</v>
      </c>
      <c r="AW20" s="46">
        <v>13</v>
      </c>
      <c r="AX20" s="42" t="str">
        <f>[1]Sheet1!$M$13</f>
        <v>7.142857142857142j</v>
      </c>
      <c r="AZ20" s="1">
        <v>16</v>
      </c>
      <c r="BA20" s="65">
        <v>9</v>
      </c>
      <c r="BB20" s="8">
        <v>10</v>
      </c>
      <c r="BC20" s="8">
        <v>27.720890000000001</v>
      </c>
      <c r="BD20" s="8">
        <v>5.8313199999999998</v>
      </c>
      <c r="BE20" s="8">
        <v>-27.720890000000001</v>
      </c>
      <c r="BF20" s="8">
        <v>-5.0323599999999997</v>
      </c>
      <c r="BG20" s="123">
        <v>0</v>
      </c>
      <c r="BH20" s="124">
        <v>0.13</v>
      </c>
    </row>
    <row r="21" spans="2:60" ht="15">
      <c r="B21" s="27">
        <v>17</v>
      </c>
      <c r="C21" s="10" t="s">
        <v>30</v>
      </c>
      <c r="D21" s="10" t="s">
        <v>428</v>
      </c>
      <c r="E21" s="10" t="s">
        <v>429</v>
      </c>
      <c r="F21" s="10" t="s">
        <v>304</v>
      </c>
      <c r="G21" s="10" t="s">
        <v>304</v>
      </c>
      <c r="H21" s="10" t="s">
        <v>430</v>
      </c>
      <c r="I21" s="10" t="s">
        <v>383</v>
      </c>
      <c r="J21" s="1" t="str">
        <f t="shared" si="2"/>
        <v>1,040</v>
      </c>
      <c r="K21" s="1" t="str">
        <f t="shared" si="3"/>
        <v>-15,850</v>
      </c>
      <c r="L21" s="1" t="str">
        <f t="shared" si="4"/>
        <v>-</v>
      </c>
      <c r="M21" s="1" t="str">
        <f t="shared" si="5"/>
        <v>-</v>
      </c>
      <c r="N21" s="1" t="str">
        <f t="shared" si="6"/>
        <v>9,00</v>
      </c>
      <c r="O21" s="28" t="str">
        <f t="shared" si="7"/>
        <v>5,80</v>
      </c>
      <c r="R21" s="79">
        <v>17</v>
      </c>
      <c r="S21" s="73" t="s">
        <v>30</v>
      </c>
      <c r="T21" s="8" t="s">
        <v>431</v>
      </c>
      <c r="U21" s="8" t="s">
        <v>432</v>
      </c>
      <c r="V21" s="8" t="s">
        <v>309</v>
      </c>
      <c r="W21" s="8" t="s">
        <v>330</v>
      </c>
      <c r="X21" s="8" t="s">
        <v>433</v>
      </c>
      <c r="Y21" s="8" t="s">
        <v>387</v>
      </c>
      <c r="Z21" s="6" t="str">
        <f t="shared" si="8"/>
        <v>1,0402</v>
      </c>
      <c r="AA21" s="6" t="str">
        <f t="shared" si="9"/>
        <v>-15,8499</v>
      </c>
      <c r="AB21" s="6" t="str">
        <f t="shared" si="10"/>
        <v>0,000</v>
      </c>
      <c r="AC21" s="6">
        <v>0</v>
      </c>
      <c r="AD21" s="71">
        <v>9</v>
      </c>
      <c r="AE21" s="85">
        <v>5.8</v>
      </c>
      <c r="AF21" s="136" t="e">
        <f t="shared" si="12"/>
        <v>#VALUE!</v>
      </c>
      <c r="AG21" s="136">
        <f t="shared" si="13"/>
        <v>-5.8</v>
      </c>
      <c r="AI21" s="144" t="s">
        <v>333</v>
      </c>
      <c r="AJ21" s="147">
        <v>-1E-4</v>
      </c>
      <c r="AL21" s="36">
        <f>Nodos!L20*1.1</f>
        <v>36.300000000000004</v>
      </c>
      <c r="AM21">
        <f>Nodos!L20*0.9</f>
        <v>29.7</v>
      </c>
      <c r="AN21" s="33">
        <f>Z21*'DATOS ESPERADOS'!K17</f>
        <v>343266</v>
      </c>
      <c r="AQ21" s="36">
        <v>17</v>
      </c>
      <c r="AR21">
        <v>1.0402</v>
      </c>
      <c r="AS21" s="28">
        <v>-15.8499</v>
      </c>
      <c r="AT21">
        <f>AR21*'DATOS ESPERADOS'!K17</f>
        <v>34.326599999999999</v>
      </c>
      <c r="AU21" s="1">
        <v>-15.8499</v>
      </c>
      <c r="AV21" s="45">
        <v>12</v>
      </c>
      <c r="AW21" s="46">
        <v>14</v>
      </c>
      <c r="AX21" s="42" t="str">
        <f>[1]Sheet1!$N$13</f>
        <v>(-1.5265676088395577+3.1734252729654173j)</v>
      </c>
      <c r="AZ21" s="1">
        <v>17</v>
      </c>
      <c r="BA21" s="65">
        <v>9</v>
      </c>
      <c r="BB21" s="8">
        <v>11</v>
      </c>
      <c r="BC21" s="8">
        <v>0</v>
      </c>
      <c r="BD21" s="8">
        <v>-15.6149</v>
      </c>
      <c r="BE21" s="8">
        <v>0</v>
      </c>
      <c r="BF21" s="8">
        <v>16.07394</v>
      </c>
      <c r="BG21" s="123">
        <v>7.3999999999999996E-2</v>
      </c>
      <c r="BH21" s="124">
        <v>0.15</v>
      </c>
    </row>
    <row r="22" spans="2:60" ht="15">
      <c r="B22" s="27">
        <v>18</v>
      </c>
      <c r="C22" s="10" t="s">
        <v>30</v>
      </c>
      <c r="D22" s="10" t="s">
        <v>434</v>
      </c>
      <c r="E22" s="10" t="s">
        <v>435</v>
      </c>
      <c r="F22" s="10" t="s">
        <v>304</v>
      </c>
      <c r="G22" s="10" t="s">
        <v>304</v>
      </c>
      <c r="H22" s="10" t="s">
        <v>436</v>
      </c>
      <c r="I22" s="10" t="s">
        <v>437</v>
      </c>
      <c r="J22" s="1" t="str">
        <f t="shared" si="2"/>
        <v>1,028</v>
      </c>
      <c r="K22" s="1" t="str">
        <f t="shared" si="3"/>
        <v>-16,530</v>
      </c>
      <c r="L22" s="1" t="str">
        <f t="shared" si="4"/>
        <v>-</v>
      </c>
      <c r="M22" s="1" t="str">
        <f t="shared" si="5"/>
        <v>-</v>
      </c>
      <c r="N22" s="1" t="str">
        <f t="shared" si="6"/>
        <v>3,20</v>
      </c>
      <c r="O22" s="28" t="str">
        <f t="shared" si="7"/>
        <v>0,90</v>
      </c>
      <c r="R22" s="79">
        <v>18</v>
      </c>
      <c r="S22" s="73" t="s">
        <v>30</v>
      </c>
      <c r="T22" s="8" t="s">
        <v>438</v>
      </c>
      <c r="U22" s="8" t="s">
        <v>439</v>
      </c>
      <c r="V22" s="8" t="s">
        <v>309</v>
      </c>
      <c r="W22" s="8" t="s">
        <v>330</v>
      </c>
      <c r="X22" s="8" t="s">
        <v>440</v>
      </c>
      <c r="Y22" s="8" t="s">
        <v>441</v>
      </c>
      <c r="Z22" s="6" t="str">
        <f t="shared" si="8"/>
        <v>1,0284</v>
      </c>
      <c r="AA22" s="6" t="str">
        <f t="shared" si="9"/>
        <v>-16,5302</v>
      </c>
      <c r="AB22" s="6" t="str">
        <f t="shared" si="10"/>
        <v>0,000</v>
      </c>
      <c r="AC22" s="6">
        <v>0</v>
      </c>
      <c r="AD22" s="71">
        <v>3.2</v>
      </c>
      <c r="AE22" s="85">
        <v>0.9</v>
      </c>
      <c r="AF22" s="136" t="e">
        <f t="shared" si="12"/>
        <v>#VALUE!</v>
      </c>
      <c r="AG22" s="136">
        <f t="shared" si="13"/>
        <v>-0.9</v>
      </c>
      <c r="AI22" s="144" t="s">
        <v>361</v>
      </c>
      <c r="AJ22" s="145" t="s">
        <v>323</v>
      </c>
      <c r="AL22" s="36">
        <f>Nodos!L21*1.1</f>
        <v>36.300000000000004</v>
      </c>
      <c r="AM22">
        <f>Nodos!L21*0.9</f>
        <v>29.7</v>
      </c>
      <c r="AN22" s="33">
        <f>Z22*'DATOS ESPERADOS'!K18</f>
        <v>339372</v>
      </c>
      <c r="AQ22" s="36">
        <v>18</v>
      </c>
      <c r="AR22">
        <v>1.0284</v>
      </c>
      <c r="AS22" s="28">
        <v>-16.530200000000001</v>
      </c>
      <c r="AT22">
        <f>AR22*'DATOS ESPERADOS'!K18</f>
        <v>33.937199999999997</v>
      </c>
      <c r="AU22" s="1">
        <v>-16.530200000000001</v>
      </c>
      <c r="AV22" s="45">
        <v>12</v>
      </c>
      <c r="AW22" s="46">
        <v>15</v>
      </c>
      <c r="AX22" s="42" t="str">
        <f>[1]Sheet1!$O$13</f>
        <v>(-3.0953961826564296+6.097275864326261j)</v>
      </c>
      <c r="AZ22" s="1">
        <v>18</v>
      </c>
      <c r="BA22" s="65">
        <v>10</v>
      </c>
      <c r="BB22" s="8">
        <v>17</v>
      </c>
      <c r="BC22" s="8">
        <v>5.3185900000000004</v>
      </c>
      <c r="BD22" s="8">
        <v>4.3990400000000003</v>
      </c>
      <c r="BE22" s="8">
        <v>-5.3044700000000002</v>
      </c>
      <c r="BF22" s="8">
        <v>-4.3621999999999996</v>
      </c>
      <c r="BG22" s="123">
        <v>0.217</v>
      </c>
      <c r="BH22" s="124">
        <v>0.43</v>
      </c>
    </row>
    <row r="23" spans="2:60" ht="15">
      <c r="B23" s="27">
        <v>19</v>
      </c>
      <c r="C23" s="10" t="s">
        <v>30</v>
      </c>
      <c r="D23" s="10" t="s">
        <v>442</v>
      </c>
      <c r="E23" s="10" t="s">
        <v>443</v>
      </c>
      <c r="F23" s="10" t="s">
        <v>304</v>
      </c>
      <c r="G23" s="10" t="s">
        <v>304</v>
      </c>
      <c r="H23" s="10" t="s">
        <v>444</v>
      </c>
      <c r="I23" s="10" t="s">
        <v>445</v>
      </c>
      <c r="J23" s="1" t="str">
        <f t="shared" si="2"/>
        <v>1,026</v>
      </c>
      <c r="K23" s="1" t="str">
        <f t="shared" si="3"/>
        <v>-16,704</v>
      </c>
      <c r="L23" s="1" t="str">
        <f t="shared" si="4"/>
        <v>-</v>
      </c>
      <c r="M23" s="1" t="str">
        <f t="shared" si="5"/>
        <v>-</v>
      </c>
      <c r="N23" s="1" t="str">
        <f t="shared" si="6"/>
        <v>9,50</v>
      </c>
      <c r="O23" s="28" t="str">
        <f t="shared" si="7"/>
        <v>3,40</v>
      </c>
      <c r="R23" s="79">
        <v>19</v>
      </c>
      <c r="S23" s="73" t="s">
        <v>30</v>
      </c>
      <c r="T23" s="8" t="s">
        <v>446</v>
      </c>
      <c r="U23" s="8" t="s">
        <v>447</v>
      </c>
      <c r="V23" s="8" t="s">
        <v>309</v>
      </c>
      <c r="W23" s="8" t="s">
        <v>330</v>
      </c>
      <c r="X23" s="8" t="s">
        <v>448</v>
      </c>
      <c r="Y23" s="8" t="s">
        <v>449</v>
      </c>
      <c r="Z23" s="6" t="str">
        <f t="shared" si="8"/>
        <v>1,0259</v>
      </c>
      <c r="AA23" s="6" t="str">
        <f t="shared" si="9"/>
        <v>-16,7037</v>
      </c>
      <c r="AB23" s="6" t="str">
        <f t="shared" si="10"/>
        <v>0,000</v>
      </c>
      <c r="AC23" s="6">
        <v>0</v>
      </c>
      <c r="AD23" s="71">
        <v>9.5</v>
      </c>
      <c r="AE23" s="85">
        <v>3.4</v>
      </c>
      <c r="AF23" s="136" t="e">
        <f t="shared" si="12"/>
        <v>#VALUE!</v>
      </c>
      <c r="AG23" s="136">
        <f t="shared" si="13"/>
        <v>-3.4</v>
      </c>
      <c r="AI23" s="144" t="s">
        <v>381</v>
      </c>
      <c r="AJ23" s="146" t="s">
        <v>334</v>
      </c>
      <c r="AL23" s="36">
        <f>Nodos!L22*1.1</f>
        <v>36.300000000000004</v>
      </c>
      <c r="AM23">
        <f>Nodos!L22*0.9</f>
        <v>29.7</v>
      </c>
      <c r="AN23" s="33">
        <f>Z23*'DATOS ESPERADOS'!K19</f>
        <v>338547</v>
      </c>
      <c r="AQ23" s="36">
        <v>19</v>
      </c>
      <c r="AR23">
        <v>1.0259</v>
      </c>
      <c r="AS23" s="28">
        <v>-16.703700000000001</v>
      </c>
      <c r="AT23">
        <f>AR23*'DATOS ESPERADOS'!K19</f>
        <v>33.854700000000001</v>
      </c>
      <c r="AU23" s="1">
        <v>-16.703700000000001</v>
      </c>
      <c r="AV23" s="45">
        <v>12</v>
      </c>
      <c r="AW23" s="46">
        <v>16</v>
      </c>
      <c r="AX23" s="42" t="str">
        <f>[1]Sheet1!$P$13</f>
        <v>(-1.951997792280169+4.104359379111847j)</v>
      </c>
      <c r="AZ23" s="1">
        <v>19</v>
      </c>
      <c r="BA23" s="65">
        <v>10</v>
      </c>
      <c r="BB23" s="8">
        <v>20</v>
      </c>
      <c r="BC23" s="8">
        <v>9.0269200000000005</v>
      </c>
      <c r="BD23" s="8">
        <v>3.7128999999999999</v>
      </c>
      <c r="BE23" s="8">
        <v>-8.9453200000000006</v>
      </c>
      <c r="BF23" s="8">
        <v>-3.53071</v>
      </c>
      <c r="BG23" s="123">
        <v>5.3999999999999999E-2</v>
      </c>
      <c r="BH23" s="124">
        <v>0.11</v>
      </c>
    </row>
    <row r="24" spans="2:60" ht="15">
      <c r="B24" s="27">
        <v>20</v>
      </c>
      <c r="C24" s="10" t="s">
        <v>30</v>
      </c>
      <c r="D24" s="10" t="s">
        <v>450</v>
      </c>
      <c r="E24" s="10" t="s">
        <v>451</v>
      </c>
      <c r="F24" s="10" t="s">
        <v>304</v>
      </c>
      <c r="G24" s="10" t="s">
        <v>304</v>
      </c>
      <c r="H24" s="10" t="s">
        <v>452</v>
      </c>
      <c r="I24" s="10" t="s">
        <v>453</v>
      </c>
      <c r="J24" s="1" t="str">
        <f t="shared" si="2"/>
        <v>1,030</v>
      </c>
      <c r="K24" s="1" t="str">
        <f t="shared" si="3"/>
        <v>-16,507</v>
      </c>
      <c r="L24" s="1" t="str">
        <f t="shared" si="4"/>
        <v>-</v>
      </c>
      <c r="M24" s="1" t="str">
        <f t="shared" si="5"/>
        <v>-</v>
      </c>
      <c r="N24" s="1" t="str">
        <f t="shared" si="6"/>
        <v>2,20</v>
      </c>
      <c r="O24" s="28" t="str">
        <f t="shared" si="7"/>
        <v>0,70</v>
      </c>
      <c r="R24" s="79">
        <v>20</v>
      </c>
      <c r="S24" s="73" t="s">
        <v>30</v>
      </c>
      <c r="T24" s="8" t="s">
        <v>454</v>
      </c>
      <c r="U24" s="8" t="s">
        <v>455</v>
      </c>
      <c r="V24" s="8" t="s">
        <v>309</v>
      </c>
      <c r="W24" s="8" t="s">
        <v>330</v>
      </c>
      <c r="X24" s="8" t="s">
        <v>456</v>
      </c>
      <c r="Y24" s="8" t="s">
        <v>457</v>
      </c>
      <c r="Z24" s="6" t="str">
        <f t="shared" si="8"/>
        <v>1,0300</v>
      </c>
      <c r="AA24" s="6" t="str">
        <f t="shared" si="9"/>
        <v>-16,5072</v>
      </c>
      <c r="AB24" s="6" t="str">
        <f t="shared" si="10"/>
        <v>0,000</v>
      </c>
      <c r="AC24" s="6">
        <v>0</v>
      </c>
      <c r="AD24" s="71">
        <v>2.2000000000000002</v>
      </c>
      <c r="AE24" s="85">
        <v>0.7</v>
      </c>
      <c r="AF24" s="136" t="e">
        <f t="shared" si="12"/>
        <v>#VALUE!</v>
      </c>
      <c r="AG24" s="136">
        <f t="shared" si="13"/>
        <v>-0.7</v>
      </c>
      <c r="AI24" s="144" t="s">
        <v>310</v>
      </c>
      <c r="AJ24" s="145" t="s">
        <v>323</v>
      </c>
      <c r="AL24" s="36">
        <f>Nodos!L23*1.1</f>
        <v>36.300000000000004</v>
      </c>
      <c r="AM24">
        <f>Nodos!L23*0.9</f>
        <v>29.7</v>
      </c>
      <c r="AN24" s="33">
        <f>Z24*'DATOS ESPERADOS'!K20</f>
        <v>339900</v>
      </c>
      <c r="AQ24" s="36">
        <v>20</v>
      </c>
      <c r="AR24">
        <v>1.03</v>
      </c>
      <c r="AS24" s="28">
        <v>-16.507200000000001</v>
      </c>
      <c r="AT24">
        <f>AR24*'DATOS ESPERADOS'!K20</f>
        <v>33.99</v>
      </c>
      <c r="AU24" s="1">
        <v>-16.507200000000001</v>
      </c>
      <c r="AV24" s="45">
        <v>14</v>
      </c>
      <c r="AW24" s="46">
        <v>15</v>
      </c>
      <c r="AX24" s="42" t="str">
        <f>[1]Sheet1!$O$15</f>
        <v>(-2.490952263999462+2.2508740593696492j)</v>
      </c>
      <c r="AZ24" s="1">
        <v>20</v>
      </c>
      <c r="BA24" s="65">
        <v>10</v>
      </c>
      <c r="BB24" s="8">
        <v>21</v>
      </c>
      <c r="BC24" s="8">
        <v>15.78792</v>
      </c>
      <c r="BD24" s="8">
        <v>10.01464</v>
      </c>
      <c r="BE24" s="8">
        <v>-15.67662</v>
      </c>
      <c r="BF24" s="8">
        <v>-9.7750800000000009</v>
      </c>
      <c r="BG24" s="123">
        <v>6.0000000000000001E-3</v>
      </c>
      <c r="BH24" s="124">
        <v>0.01</v>
      </c>
    </row>
    <row r="25" spans="2:60" ht="15">
      <c r="B25" s="27">
        <v>21</v>
      </c>
      <c r="C25" s="10" t="s">
        <v>30</v>
      </c>
      <c r="D25" s="10" t="s">
        <v>458</v>
      </c>
      <c r="E25" s="10" t="s">
        <v>459</v>
      </c>
      <c r="F25" s="10" t="s">
        <v>304</v>
      </c>
      <c r="G25" s="10" t="s">
        <v>304</v>
      </c>
      <c r="H25" s="10" t="s">
        <v>460</v>
      </c>
      <c r="I25" s="10" t="s">
        <v>395</v>
      </c>
      <c r="J25" s="1" t="str">
        <f t="shared" si="2"/>
        <v>1,033</v>
      </c>
      <c r="K25" s="1" t="str">
        <f t="shared" si="3"/>
        <v>-16,131</v>
      </c>
      <c r="L25" s="1" t="str">
        <f t="shared" si="4"/>
        <v>-</v>
      </c>
      <c r="M25" s="1" t="str">
        <f t="shared" si="5"/>
        <v>-</v>
      </c>
      <c r="N25" s="1" t="str">
        <f t="shared" si="6"/>
        <v>17,50</v>
      </c>
      <c r="O25" s="28" t="str">
        <f t="shared" si="7"/>
        <v>11,20</v>
      </c>
      <c r="R25" s="79">
        <v>21</v>
      </c>
      <c r="S25" s="73" t="s">
        <v>30</v>
      </c>
      <c r="T25" s="8" t="s">
        <v>461</v>
      </c>
      <c r="U25" s="8" t="s">
        <v>462</v>
      </c>
      <c r="V25" s="8" t="s">
        <v>309</v>
      </c>
      <c r="W25" s="8" t="s">
        <v>330</v>
      </c>
      <c r="X25" s="8" t="s">
        <v>463</v>
      </c>
      <c r="Y25" s="8" t="s">
        <v>399</v>
      </c>
      <c r="Z25" s="6" t="str">
        <f t="shared" si="8"/>
        <v>1,0330</v>
      </c>
      <c r="AA25" s="6" t="str">
        <f t="shared" si="9"/>
        <v>-16,1307</v>
      </c>
      <c r="AB25" s="6" t="str">
        <f t="shared" si="10"/>
        <v>0,000</v>
      </c>
      <c r="AC25" s="6">
        <v>0</v>
      </c>
      <c r="AD25" s="71">
        <v>17.5</v>
      </c>
      <c r="AE25" s="85">
        <v>11.2</v>
      </c>
      <c r="AF25" s="136" t="e">
        <f t="shared" si="12"/>
        <v>#VALUE!</v>
      </c>
      <c r="AG25" s="136">
        <f t="shared" si="13"/>
        <v>-11.2</v>
      </c>
      <c r="AI25" s="144" t="s">
        <v>310</v>
      </c>
      <c r="AJ25" s="146" t="s">
        <v>334</v>
      </c>
      <c r="AL25" s="36">
        <f>Nodos!L24*1.1</f>
        <v>36.300000000000004</v>
      </c>
      <c r="AM25">
        <f>Nodos!L24*0.9</f>
        <v>29.7</v>
      </c>
      <c r="AN25" s="33">
        <f>Z25*'DATOS ESPERADOS'!K21</f>
        <v>340890</v>
      </c>
      <c r="AQ25" s="36">
        <v>21</v>
      </c>
      <c r="AR25">
        <v>1.0329999999999999</v>
      </c>
      <c r="AS25" s="28">
        <v>-16.130700000000001</v>
      </c>
      <c r="AT25">
        <f>AR25*'DATOS ESPERADOS'!K21</f>
        <v>34.088999999999999</v>
      </c>
      <c r="AU25" s="1">
        <v>-16.130700000000001</v>
      </c>
      <c r="AV25" s="45">
        <v>16</v>
      </c>
      <c r="AW25" s="46">
        <v>17</v>
      </c>
      <c r="AX25" s="42" t="str">
        <f>[1]Sheet1!$Q$17</f>
        <v>(-1.3190669363537615+4.8407742721532125j)</v>
      </c>
      <c r="AZ25" s="1">
        <v>21</v>
      </c>
      <c r="BA25" s="65">
        <v>10</v>
      </c>
      <c r="BB25" s="8">
        <v>22</v>
      </c>
      <c r="BC25" s="8">
        <v>7.62723</v>
      </c>
      <c r="BD25" s="8">
        <v>4.6200400000000004</v>
      </c>
      <c r="BE25" s="8">
        <v>-7.5743299999999998</v>
      </c>
      <c r="BF25" s="8">
        <v>-4.5109700000000004</v>
      </c>
      <c r="BG25" s="123">
        <v>8.0000000000000002E-3</v>
      </c>
      <c r="BH25" s="124">
        <v>0.03</v>
      </c>
    </row>
    <row r="26" spans="2:60" ht="15">
      <c r="B26" s="27">
        <v>22</v>
      </c>
      <c r="C26" s="10" t="s">
        <v>30</v>
      </c>
      <c r="D26" s="10" t="s">
        <v>464</v>
      </c>
      <c r="E26" s="10" t="s">
        <v>465</v>
      </c>
      <c r="F26" s="10" t="s">
        <v>304</v>
      </c>
      <c r="G26" s="10" t="s">
        <v>304</v>
      </c>
      <c r="H26" s="10" t="s">
        <v>304</v>
      </c>
      <c r="I26" s="10" t="s">
        <v>304</v>
      </c>
      <c r="J26" s="1" t="str">
        <f t="shared" si="2"/>
        <v>1,034</v>
      </c>
      <c r="K26" s="1" t="str">
        <f t="shared" si="3"/>
        <v>-16,116</v>
      </c>
      <c r="L26" s="1" t="str">
        <f t="shared" si="4"/>
        <v>-</v>
      </c>
      <c r="M26" s="1" t="str">
        <f t="shared" si="5"/>
        <v>-</v>
      </c>
      <c r="N26" s="1" t="str">
        <f t="shared" si="6"/>
        <v>-</v>
      </c>
      <c r="O26" s="28" t="str">
        <f t="shared" si="7"/>
        <v>-</v>
      </c>
      <c r="R26" s="79">
        <v>22</v>
      </c>
      <c r="S26" s="73" t="s">
        <v>30</v>
      </c>
      <c r="T26" s="8" t="s">
        <v>466</v>
      </c>
      <c r="U26" s="8" t="s">
        <v>467</v>
      </c>
      <c r="V26" s="8" t="s">
        <v>309</v>
      </c>
      <c r="W26" s="8" t="s">
        <v>330</v>
      </c>
      <c r="X26" s="8" t="s">
        <v>309</v>
      </c>
      <c r="Y26" s="8" t="s">
        <v>309</v>
      </c>
      <c r="Z26" s="6" t="str">
        <f t="shared" si="8"/>
        <v>1,0335</v>
      </c>
      <c r="AA26" s="6" t="str">
        <f t="shared" si="9"/>
        <v>-16,1164</v>
      </c>
      <c r="AB26" s="6" t="str">
        <f t="shared" si="10"/>
        <v>0,000</v>
      </c>
      <c r="AC26" s="6">
        <v>0</v>
      </c>
      <c r="AD26" s="71">
        <v>0</v>
      </c>
      <c r="AE26" s="85">
        <v>0</v>
      </c>
      <c r="AF26" s="136" t="e">
        <f t="shared" si="12"/>
        <v>#VALUE!</v>
      </c>
      <c r="AG26" s="136">
        <f t="shared" si="13"/>
        <v>0</v>
      </c>
      <c r="AI26" s="144" t="s">
        <v>411</v>
      </c>
      <c r="AJ26" s="145" t="s">
        <v>344</v>
      </c>
      <c r="AL26" s="36">
        <f>Nodos!L25*1.1</f>
        <v>36.300000000000004</v>
      </c>
      <c r="AM26">
        <f>Nodos!L25*0.9</f>
        <v>29.7</v>
      </c>
      <c r="AN26" s="33">
        <f>Z26*'DATOS ESPERADOS'!K22</f>
        <v>341055</v>
      </c>
      <c r="AQ26" s="36">
        <v>22</v>
      </c>
      <c r="AR26">
        <v>1.0335000000000001</v>
      </c>
      <c r="AS26" s="28">
        <v>-16.116399999999999</v>
      </c>
      <c r="AT26">
        <f>AR26*'DATOS ESPERADOS'!K22</f>
        <v>34.105500000000006</v>
      </c>
      <c r="AU26" s="1">
        <v>-16.116399999999999</v>
      </c>
      <c r="AV26" s="45">
        <v>15</v>
      </c>
      <c r="AW26" s="46">
        <v>18</v>
      </c>
      <c r="AX26" s="42" t="str">
        <f>[1]Sheet1!$R$16</f>
        <v>(-1.8108011504072024+3.6874189316306962j)</v>
      </c>
      <c r="AZ26" s="1">
        <v>22</v>
      </c>
      <c r="BA26" s="65">
        <v>12</v>
      </c>
      <c r="BB26" s="8">
        <v>13</v>
      </c>
      <c r="BC26" s="8">
        <v>0</v>
      </c>
      <c r="BD26" s="8">
        <v>-10.346439999999999</v>
      </c>
      <c r="BE26" s="8">
        <v>0</v>
      </c>
      <c r="BF26" s="8">
        <v>10.480499999999999</v>
      </c>
      <c r="BG26" s="123">
        <v>3.9E-2</v>
      </c>
      <c r="BH26" s="124">
        <v>0.08</v>
      </c>
    </row>
    <row r="27" spans="2:60" ht="15">
      <c r="B27" s="27">
        <v>23</v>
      </c>
      <c r="C27" s="10" t="s">
        <v>30</v>
      </c>
      <c r="D27" s="10" t="s">
        <v>468</v>
      </c>
      <c r="E27" s="10" t="s">
        <v>469</v>
      </c>
      <c r="F27" s="10" t="s">
        <v>304</v>
      </c>
      <c r="G27" s="10" t="s">
        <v>304</v>
      </c>
      <c r="H27" s="10" t="s">
        <v>436</v>
      </c>
      <c r="I27" s="10" t="s">
        <v>338</v>
      </c>
      <c r="J27" s="1" t="str">
        <f t="shared" si="2"/>
        <v>1,027</v>
      </c>
      <c r="K27" s="1" t="str">
        <f t="shared" si="3"/>
        <v>-16,307</v>
      </c>
      <c r="L27" s="1" t="str">
        <f t="shared" si="4"/>
        <v>-</v>
      </c>
      <c r="M27" s="1" t="str">
        <f t="shared" si="5"/>
        <v>-</v>
      </c>
      <c r="N27" s="1" t="str">
        <f t="shared" si="6"/>
        <v>3,20</v>
      </c>
      <c r="O27" s="28" t="str">
        <f t="shared" si="7"/>
        <v>1,60</v>
      </c>
      <c r="R27" s="79">
        <v>23</v>
      </c>
      <c r="S27" s="73" t="s">
        <v>30</v>
      </c>
      <c r="T27" s="8" t="s">
        <v>470</v>
      </c>
      <c r="U27" s="8" t="s">
        <v>471</v>
      </c>
      <c r="V27" s="8" t="s">
        <v>309</v>
      </c>
      <c r="W27" s="8" t="s">
        <v>330</v>
      </c>
      <c r="X27" s="8" t="s">
        <v>440</v>
      </c>
      <c r="Y27" s="8" t="s">
        <v>342</v>
      </c>
      <c r="Z27" s="6" t="str">
        <f t="shared" si="8"/>
        <v>1,0274</v>
      </c>
      <c r="AA27" s="6" t="str">
        <f t="shared" si="9"/>
        <v>-16,3066</v>
      </c>
      <c r="AB27" s="6" t="str">
        <f t="shared" si="10"/>
        <v>0,000</v>
      </c>
      <c r="AC27" s="6">
        <v>0</v>
      </c>
      <c r="AD27" s="71">
        <v>3.2</v>
      </c>
      <c r="AE27" s="85">
        <v>1.6</v>
      </c>
      <c r="AF27" s="136" t="e">
        <f t="shared" si="12"/>
        <v>#VALUE!</v>
      </c>
      <c r="AG27" s="136">
        <f t="shared" si="13"/>
        <v>-1.6</v>
      </c>
      <c r="AI27" s="144" t="s">
        <v>361</v>
      </c>
      <c r="AJ27" s="146" t="s">
        <v>472</v>
      </c>
      <c r="AL27" s="36">
        <f>Nodos!L26*1.1</f>
        <v>36.300000000000004</v>
      </c>
      <c r="AM27">
        <f>Nodos!L26*0.9</f>
        <v>29.7</v>
      </c>
      <c r="AN27" s="33">
        <f>Z27*'DATOS ESPERADOS'!K23</f>
        <v>339042</v>
      </c>
      <c r="AQ27" s="36">
        <v>23</v>
      </c>
      <c r="AR27">
        <v>1.0274000000000001</v>
      </c>
      <c r="AS27" s="28">
        <v>-16.3066</v>
      </c>
      <c r="AT27">
        <f>AR27*'DATOS ESPERADOS'!K23</f>
        <v>33.904200000000003</v>
      </c>
      <c r="AU27" s="1">
        <v>-16.3066</v>
      </c>
      <c r="AV27" s="45">
        <v>18</v>
      </c>
      <c r="AW27" s="46">
        <v>19</v>
      </c>
      <c r="AX27" s="42" t="str">
        <f>[1]Sheet1!$S$19</f>
        <v>(-3.0756864340087167+6.218758799278971j)</v>
      </c>
      <c r="AZ27" s="1">
        <v>23</v>
      </c>
      <c r="BA27" s="65">
        <v>12</v>
      </c>
      <c r="BB27" s="8">
        <v>14</v>
      </c>
      <c r="BC27" s="8">
        <v>7.8520799999999999</v>
      </c>
      <c r="BD27" s="8">
        <v>2.3898299999999999</v>
      </c>
      <c r="BE27" s="8">
        <v>-7.7778999999999998</v>
      </c>
      <c r="BF27" s="8">
        <v>-2.2356199999999999</v>
      </c>
      <c r="BG27" s="123">
        <v>5.0000000000000001E-3</v>
      </c>
      <c r="BH27" s="124">
        <v>0.01</v>
      </c>
    </row>
    <row r="28" spans="2:60" ht="15">
      <c r="B28" s="27">
        <v>24</v>
      </c>
      <c r="C28" s="10" t="s">
        <v>30</v>
      </c>
      <c r="D28" s="10" t="s">
        <v>473</v>
      </c>
      <c r="E28" s="10" t="s">
        <v>474</v>
      </c>
      <c r="F28" s="10" t="s">
        <v>304</v>
      </c>
      <c r="G28" s="10" t="s">
        <v>304</v>
      </c>
      <c r="H28" s="10" t="s">
        <v>475</v>
      </c>
      <c r="I28" s="10" t="s">
        <v>476</v>
      </c>
      <c r="J28" s="1" t="str">
        <f t="shared" si="2"/>
        <v>1,022</v>
      </c>
      <c r="K28" s="1" t="str">
        <f t="shared" si="3"/>
        <v>-16,483</v>
      </c>
      <c r="L28" s="1" t="str">
        <f t="shared" si="4"/>
        <v>-</v>
      </c>
      <c r="M28" s="1" t="str">
        <f t="shared" si="5"/>
        <v>-</v>
      </c>
      <c r="N28" s="1" t="str">
        <f t="shared" si="6"/>
        <v>8,70</v>
      </c>
      <c r="O28" s="28" t="str">
        <f t="shared" si="7"/>
        <v>6,70</v>
      </c>
      <c r="R28" s="79">
        <v>24</v>
      </c>
      <c r="S28" s="73" t="s">
        <v>30</v>
      </c>
      <c r="T28" s="8" t="s">
        <v>477</v>
      </c>
      <c r="U28" s="8" t="s">
        <v>478</v>
      </c>
      <c r="V28" s="8" t="s">
        <v>309</v>
      </c>
      <c r="W28" s="8" t="s">
        <v>330</v>
      </c>
      <c r="X28" s="8" t="s">
        <v>479</v>
      </c>
      <c r="Y28" s="8" t="s">
        <v>480</v>
      </c>
      <c r="Z28" s="6" t="str">
        <f t="shared" si="8"/>
        <v>1,0218</v>
      </c>
      <c r="AA28" s="6" t="str">
        <f t="shared" si="9"/>
        <v>-16,4828</v>
      </c>
      <c r="AB28" s="6" t="str">
        <f t="shared" si="10"/>
        <v>0,000</v>
      </c>
      <c r="AC28" s="6">
        <v>0</v>
      </c>
      <c r="AD28" s="71">
        <v>8.6999999999999993</v>
      </c>
      <c r="AE28" s="85">
        <v>6.7</v>
      </c>
      <c r="AF28" s="136" t="e">
        <f t="shared" si="12"/>
        <v>#VALUE!</v>
      </c>
      <c r="AG28" s="136">
        <f t="shared" si="13"/>
        <v>-6.7</v>
      </c>
      <c r="AI28" s="144" t="s">
        <v>333</v>
      </c>
      <c r="AJ28" s="146" t="s">
        <v>356</v>
      </c>
      <c r="AL28" s="36">
        <f>Nodos!L27*1.1</f>
        <v>36.300000000000004</v>
      </c>
      <c r="AM28">
        <f>Nodos!L27*0.9</f>
        <v>29.7</v>
      </c>
      <c r="AN28" s="33">
        <f>Z28*'DATOS ESPERADOS'!K24</f>
        <v>337194</v>
      </c>
      <c r="AQ28" s="36">
        <v>24</v>
      </c>
      <c r="AR28">
        <v>1.0218</v>
      </c>
      <c r="AS28" s="28">
        <v>-16.482800000000001</v>
      </c>
      <c r="AT28">
        <f>AR28*'DATOS ESPERADOS'!K24</f>
        <v>33.7194</v>
      </c>
      <c r="AU28" s="1">
        <v>-16.482800000000001</v>
      </c>
      <c r="AV28" s="45">
        <v>19</v>
      </c>
      <c r="AW28" s="46">
        <v>20</v>
      </c>
      <c r="AX28" s="42" t="str">
        <f>[1]Sheet1!$T$20</f>
        <v>(-5.88235294117647+11.76470588235294j)</v>
      </c>
      <c r="AZ28" s="1">
        <v>24</v>
      </c>
      <c r="BA28" s="65">
        <v>12</v>
      </c>
      <c r="BB28" s="8">
        <v>15</v>
      </c>
      <c r="BC28" s="8">
        <v>17.88391</v>
      </c>
      <c r="BD28" s="8">
        <v>6.7746399999999998</v>
      </c>
      <c r="BE28" s="8">
        <v>-17.66733</v>
      </c>
      <c r="BF28" s="8">
        <v>-6.34802</v>
      </c>
      <c r="BG28" s="123">
        <v>1.7000000000000001E-2</v>
      </c>
      <c r="BH28" s="124">
        <v>0.03</v>
      </c>
    </row>
    <row r="29" spans="2:60" ht="15">
      <c r="B29" s="27">
        <v>25</v>
      </c>
      <c r="C29" s="10" t="s">
        <v>30</v>
      </c>
      <c r="D29" s="10" t="s">
        <v>481</v>
      </c>
      <c r="E29" s="10" t="s">
        <v>482</v>
      </c>
      <c r="F29" s="10" t="s">
        <v>304</v>
      </c>
      <c r="G29" s="10" t="s">
        <v>304</v>
      </c>
      <c r="H29" s="10" t="s">
        <v>304</v>
      </c>
      <c r="I29" s="10" t="s">
        <v>304</v>
      </c>
      <c r="J29" s="1" t="str">
        <f t="shared" si="2"/>
        <v>1,018</v>
      </c>
      <c r="K29" s="1" t="str">
        <f t="shared" si="3"/>
        <v>-16,055</v>
      </c>
      <c r="L29" s="1" t="str">
        <f t="shared" si="4"/>
        <v>-</v>
      </c>
      <c r="M29" s="1" t="str">
        <f t="shared" si="5"/>
        <v>-</v>
      </c>
      <c r="N29" s="1" t="str">
        <f t="shared" si="6"/>
        <v>-</v>
      </c>
      <c r="O29" s="28" t="str">
        <f t="shared" si="7"/>
        <v>-</v>
      </c>
      <c r="R29" s="79">
        <v>25</v>
      </c>
      <c r="S29" s="73" t="s">
        <v>30</v>
      </c>
      <c r="T29" s="8" t="s">
        <v>483</v>
      </c>
      <c r="U29" s="8" t="s">
        <v>484</v>
      </c>
      <c r="V29" s="8" t="s">
        <v>309</v>
      </c>
      <c r="W29" s="8" t="s">
        <v>330</v>
      </c>
      <c r="X29" s="8" t="s">
        <v>309</v>
      </c>
      <c r="Y29" s="8" t="s">
        <v>309</v>
      </c>
      <c r="Z29" s="6" t="str">
        <f t="shared" si="8"/>
        <v>1,0176</v>
      </c>
      <c r="AA29" s="6" t="str">
        <f t="shared" si="9"/>
        <v>-16,0546</v>
      </c>
      <c r="AB29" s="6" t="str">
        <f t="shared" si="10"/>
        <v>0,000</v>
      </c>
      <c r="AC29" s="6">
        <v>0</v>
      </c>
      <c r="AD29" s="71">
        <v>0</v>
      </c>
      <c r="AE29" s="85">
        <v>0</v>
      </c>
      <c r="AF29" s="136" t="e">
        <f t="shared" si="12"/>
        <v>#VALUE!</v>
      </c>
      <c r="AG29" s="136">
        <f t="shared" si="13"/>
        <v>0</v>
      </c>
      <c r="AI29" s="144" t="s">
        <v>361</v>
      </c>
      <c r="AJ29" s="146" t="s">
        <v>472</v>
      </c>
      <c r="AL29" s="36">
        <f>Nodos!L28*1.1</f>
        <v>36.300000000000004</v>
      </c>
      <c r="AM29">
        <f>Nodos!L28*0.9</f>
        <v>29.7</v>
      </c>
      <c r="AN29" s="33">
        <f>Z29*'DATOS ESPERADOS'!K25</f>
        <v>335808</v>
      </c>
      <c r="AQ29" s="36">
        <v>25</v>
      </c>
      <c r="AR29">
        <v>1.0176000000000001</v>
      </c>
      <c r="AS29" s="28">
        <v>-16.054600000000001</v>
      </c>
      <c r="AT29">
        <f>AR29*'DATOS ESPERADOS'!K25</f>
        <v>33.580800000000004</v>
      </c>
      <c r="AU29" s="1">
        <v>-16.054600000000001</v>
      </c>
      <c r="AV29" s="45">
        <v>10</v>
      </c>
      <c r="AW29" s="46">
        <v>20</v>
      </c>
      <c r="AX29" s="42" t="str">
        <f>[1]Sheet1!$T$11</f>
        <v>(-1.7848303152666303+3.98535828943083j)</v>
      </c>
      <c r="AZ29" s="1">
        <v>25</v>
      </c>
      <c r="BA29" s="65">
        <v>12</v>
      </c>
      <c r="BB29" s="8">
        <v>16</v>
      </c>
      <c r="BC29" s="8">
        <v>7.2407300000000001</v>
      </c>
      <c r="BD29" s="8">
        <v>3.3428800000000001</v>
      </c>
      <c r="BE29" s="8">
        <v>-7.18696</v>
      </c>
      <c r="BF29" s="8">
        <v>-3.2298300000000002</v>
      </c>
      <c r="BG29" s="123">
        <v>8.2000000000000003E-2</v>
      </c>
      <c r="BH29" s="124">
        <v>0.18</v>
      </c>
    </row>
    <row r="30" spans="2:60" ht="15">
      <c r="B30" s="27">
        <v>26</v>
      </c>
      <c r="C30" s="10" t="s">
        <v>30</v>
      </c>
      <c r="D30" s="10" t="s">
        <v>485</v>
      </c>
      <c r="E30" s="10" t="s">
        <v>486</v>
      </c>
      <c r="F30" s="10" t="s">
        <v>304</v>
      </c>
      <c r="G30" s="10" t="s">
        <v>304</v>
      </c>
      <c r="H30" s="10" t="s">
        <v>422</v>
      </c>
      <c r="I30" s="10" t="s">
        <v>487</v>
      </c>
      <c r="J30" s="1" t="str">
        <f t="shared" si="2"/>
        <v>1,000</v>
      </c>
      <c r="K30" s="1" t="str">
        <f t="shared" si="3"/>
        <v>-16,474</v>
      </c>
      <c r="L30" s="1" t="str">
        <f t="shared" si="4"/>
        <v>-</v>
      </c>
      <c r="M30" s="1" t="str">
        <f t="shared" si="5"/>
        <v>-</v>
      </c>
      <c r="N30" s="1" t="str">
        <f t="shared" si="6"/>
        <v>3,50</v>
      </c>
      <c r="O30" s="28" t="str">
        <f t="shared" si="7"/>
        <v>2,30</v>
      </c>
      <c r="R30" s="79">
        <v>26</v>
      </c>
      <c r="S30" s="73" t="s">
        <v>30</v>
      </c>
      <c r="T30" s="8" t="s">
        <v>488</v>
      </c>
      <c r="U30" s="8" t="s">
        <v>489</v>
      </c>
      <c r="V30" s="8" t="s">
        <v>309</v>
      </c>
      <c r="W30" s="8" t="s">
        <v>330</v>
      </c>
      <c r="X30" s="8" t="s">
        <v>426</v>
      </c>
      <c r="Y30" s="8" t="s">
        <v>490</v>
      </c>
      <c r="Z30" s="6" t="str">
        <f t="shared" si="8"/>
        <v>0,9999</v>
      </c>
      <c r="AA30" s="6" t="str">
        <f t="shared" si="9"/>
        <v>-16,4740</v>
      </c>
      <c r="AB30" s="6" t="str">
        <f t="shared" si="10"/>
        <v>0,000</v>
      </c>
      <c r="AC30" s="6">
        <v>0</v>
      </c>
      <c r="AD30" s="71">
        <v>3.5</v>
      </c>
      <c r="AE30" s="85">
        <v>2.2999999999999998</v>
      </c>
      <c r="AF30" s="136" t="e">
        <f t="shared" si="12"/>
        <v>#VALUE!</v>
      </c>
      <c r="AG30" s="136">
        <f t="shared" si="13"/>
        <v>-2.2999999999999998</v>
      </c>
      <c r="AI30" s="144" t="s">
        <v>381</v>
      </c>
      <c r="AJ30" s="145">
        <v>0</v>
      </c>
      <c r="AL30" s="36">
        <f>Nodos!L29*1.1</f>
        <v>36.300000000000004</v>
      </c>
      <c r="AM30">
        <f>Nodos!L29*0.9</f>
        <v>29.7</v>
      </c>
      <c r="AN30" s="33" t="e">
        <f>Z30*'DATOS ESPERADOS'!K26</f>
        <v>#VALUE!</v>
      </c>
      <c r="AQ30" s="36">
        <v>26</v>
      </c>
      <c r="AR30">
        <v>0.99990000000000001</v>
      </c>
      <c r="AS30" s="28">
        <v>-16.474</v>
      </c>
      <c r="AT30">
        <f>AR30*'DATOS ESPERADOS'!K26</f>
        <v>32.996699999999997</v>
      </c>
      <c r="AU30" s="1">
        <v>-16.474</v>
      </c>
      <c r="AV30" s="45">
        <v>10</v>
      </c>
      <c r="AW30" s="46">
        <v>17</v>
      </c>
      <c r="AX30" s="42" t="str">
        <f>[1]Sheet1!$Q$11</f>
        <v>(-3.956039125715353+10.317447719844054j)</v>
      </c>
      <c r="AZ30" s="1">
        <v>26</v>
      </c>
      <c r="BA30" s="65">
        <v>14</v>
      </c>
      <c r="BB30" s="8">
        <v>15</v>
      </c>
      <c r="BC30" s="8">
        <v>1.58552</v>
      </c>
      <c r="BD30" s="8">
        <v>0.64742</v>
      </c>
      <c r="BE30" s="8">
        <v>-1.5795600000000001</v>
      </c>
      <c r="BF30" s="8">
        <v>-0.64202999999999999</v>
      </c>
      <c r="BG30" s="123">
        <v>1.4E-2</v>
      </c>
      <c r="BH30" s="124">
        <v>0.04</v>
      </c>
    </row>
    <row r="31" spans="2:60" ht="15">
      <c r="B31" s="27">
        <v>27</v>
      </c>
      <c r="C31" s="10" t="s">
        <v>30</v>
      </c>
      <c r="D31" s="10" t="s">
        <v>491</v>
      </c>
      <c r="E31" s="10" t="s">
        <v>492</v>
      </c>
      <c r="F31" s="10" t="s">
        <v>304</v>
      </c>
      <c r="G31" s="10" t="s">
        <v>304</v>
      </c>
      <c r="H31" s="10" t="s">
        <v>304</v>
      </c>
      <c r="I31" s="10" t="s">
        <v>304</v>
      </c>
      <c r="J31" s="1" t="str">
        <f t="shared" si="2"/>
        <v>1,024</v>
      </c>
      <c r="K31" s="1" t="str">
        <f t="shared" si="3"/>
        <v>-15,530</v>
      </c>
      <c r="L31" s="1" t="str">
        <f t="shared" si="4"/>
        <v>-</v>
      </c>
      <c r="M31" s="1" t="str">
        <f t="shared" si="5"/>
        <v>-</v>
      </c>
      <c r="N31" s="1" t="str">
        <f t="shared" si="6"/>
        <v>-</v>
      </c>
      <c r="O31" s="28" t="str">
        <f t="shared" si="7"/>
        <v>-</v>
      </c>
      <c r="R31" s="79">
        <v>27</v>
      </c>
      <c r="S31" s="73" t="s">
        <v>30</v>
      </c>
      <c r="T31" s="8" t="s">
        <v>493</v>
      </c>
      <c r="U31" s="8" t="s">
        <v>494</v>
      </c>
      <c r="V31" s="8" t="s">
        <v>309</v>
      </c>
      <c r="W31" s="8" t="s">
        <v>330</v>
      </c>
      <c r="X31" s="8" t="s">
        <v>309</v>
      </c>
      <c r="Y31" s="8" t="s">
        <v>309</v>
      </c>
      <c r="Z31" s="6" t="str">
        <f t="shared" si="8"/>
        <v>1,0235</v>
      </c>
      <c r="AA31" s="6" t="str">
        <f t="shared" si="9"/>
        <v>-15,5301</v>
      </c>
      <c r="AB31" s="6" t="str">
        <f t="shared" si="10"/>
        <v>0,000</v>
      </c>
      <c r="AC31" s="6">
        <v>0</v>
      </c>
      <c r="AD31" s="71">
        <v>0</v>
      </c>
      <c r="AE31" s="85">
        <v>0</v>
      </c>
      <c r="AF31" s="136" t="e">
        <f t="shared" si="12"/>
        <v>#VALUE!</v>
      </c>
      <c r="AG31" s="136">
        <f t="shared" si="13"/>
        <v>0</v>
      </c>
      <c r="AI31" s="144" t="s">
        <v>411</v>
      </c>
      <c r="AJ31" s="147">
        <v>1E-4</v>
      </c>
      <c r="AL31" s="36">
        <f>Nodos!L30*1.1</f>
        <v>36.300000000000004</v>
      </c>
      <c r="AM31">
        <f>Nodos!L30*0.9</f>
        <v>29.7</v>
      </c>
      <c r="AN31" s="33">
        <f>Z31*'DATOS ESPERADOS'!K27</f>
        <v>337755</v>
      </c>
      <c r="AQ31" s="36">
        <v>27</v>
      </c>
      <c r="AR31">
        <v>1.0235000000000001</v>
      </c>
      <c r="AS31" s="28">
        <v>-15.530099999999999</v>
      </c>
      <c r="AT31">
        <f>AR31*'DATOS ESPERADOS'!K27</f>
        <v>33.775500000000001</v>
      </c>
      <c r="AU31" s="1">
        <v>-15.530099999999999</v>
      </c>
      <c r="AV31" s="45">
        <v>10</v>
      </c>
      <c r="AW31" s="46">
        <v>21</v>
      </c>
      <c r="AX31" s="42" t="str">
        <f>[1]Sheet1!$U$11</f>
        <v>(-5.101853820159654+10.98071411292983j)</v>
      </c>
      <c r="AZ31" s="1">
        <v>27</v>
      </c>
      <c r="BA31" s="65">
        <v>15</v>
      </c>
      <c r="BB31" s="8">
        <v>18</v>
      </c>
      <c r="BC31" s="8">
        <v>6.0128899999999996</v>
      </c>
      <c r="BD31" s="8">
        <v>1.58786</v>
      </c>
      <c r="BE31" s="8">
        <v>-5.9743700000000004</v>
      </c>
      <c r="BF31" s="8">
        <v>-1.5094099999999999</v>
      </c>
      <c r="BG31" s="123">
        <v>0.111</v>
      </c>
      <c r="BH31" s="124">
        <v>0.24</v>
      </c>
    </row>
    <row r="32" spans="2:60" ht="15">
      <c r="B32" s="27">
        <v>28</v>
      </c>
      <c r="C32" s="10" t="s">
        <v>30</v>
      </c>
      <c r="D32" s="10" t="s">
        <v>495</v>
      </c>
      <c r="E32" s="10" t="s">
        <v>496</v>
      </c>
      <c r="F32" s="10" t="s">
        <v>304</v>
      </c>
      <c r="G32" s="10" t="s">
        <v>304</v>
      </c>
      <c r="H32" s="10" t="s">
        <v>304</v>
      </c>
      <c r="I32" s="10" t="s">
        <v>304</v>
      </c>
      <c r="J32" s="1" t="str">
        <f t="shared" si="2"/>
        <v>1,007</v>
      </c>
      <c r="K32" s="1" t="str">
        <f t="shared" si="3"/>
        <v>-11,677</v>
      </c>
      <c r="L32" s="1" t="str">
        <f t="shared" si="4"/>
        <v>-</v>
      </c>
      <c r="M32" s="1" t="str">
        <f t="shared" si="5"/>
        <v>-</v>
      </c>
      <c r="N32" s="1" t="str">
        <f t="shared" si="6"/>
        <v>-</v>
      </c>
      <c r="O32" s="28" t="str">
        <f t="shared" si="7"/>
        <v>-</v>
      </c>
      <c r="R32" s="79">
        <v>28</v>
      </c>
      <c r="S32" s="73" t="s">
        <v>30</v>
      </c>
      <c r="T32" s="8" t="s">
        <v>497</v>
      </c>
      <c r="U32" s="8" t="s">
        <v>498</v>
      </c>
      <c r="V32" s="8" t="s">
        <v>309</v>
      </c>
      <c r="W32" s="8" t="s">
        <v>330</v>
      </c>
      <c r="X32" s="8" t="s">
        <v>309</v>
      </c>
      <c r="Y32" s="8" t="s">
        <v>309</v>
      </c>
      <c r="Z32" s="6" t="str">
        <f t="shared" si="8"/>
        <v>1,0071</v>
      </c>
      <c r="AA32" s="6" t="str">
        <f t="shared" si="9"/>
        <v>-11,6773</v>
      </c>
      <c r="AB32" s="6" t="str">
        <f t="shared" si="10"/>
        <v>0,000</v>
      </c>
      <c r="AC32" s="6">
        <v>0</v>
      </c>
      <c r="AD32" s="71">
        <v>0</v>
      </c>
      <c r="AE32" s="85">
        <v>0</v>
      </c>
      <c r="AF32" s="136" t="e">
        <f t="shared" si="12"/>
        <v>#VALUE!</v>
      </c>
      <c r="AG32" s="136">
        <f t="shared" si="13"/>
        <v>0</v>
      </c>
      <c r="AI32" s="144" t="s">
        <v>381</v>
      </c>
      <c r="AJ32" s="145" t="s">
        <v>370</v>
      </c>
      <c r="AL32" s="36">
        <f>Nodos!L31*1.1</f>
        <v>145.20000000000002</v>
      </c>
      <c r="AM32">
        <f>Nodos!L31*0.9</f>
        <v>118.8</v>
      </c>
      <c r="AN32" s="33">
        <f>Z32*'DATOS ESPERADOS'!K28</f>
        <v>1329372</v>
      </c>
      <c r="AQ32" s="36">
        <v>28</v>
      </c>
      <c r="AR32">
        <v>1.0071000000000001</v>
      </c>
      <c r="AS32" s="28">
        <v>-11.677300000000001</v>
      </c>
      <c r="AT32">
        <f>AR32*'DATOS ESPERADOS'!K28</f>
        <v>132.93720000000002</v>
      </c>
      <c r="AU32" s="1">
        <v>-11.677300000000001</v>
      </c>
      <c r="AV32" s="45">
        <v>10</v>
      </c>
      <c r="AW32" s="46">
        <v>22</v>
      </c>
      <c r="AX32" s="42" t="str">
        <f>[1]Sheet1!$V$11</f>
        <v>(-2.6193195533825975+5.4007703033294545j)</v>
      </c>
      <c r="AZ32" s="1">
        <v>28</v>
      </c>
      <c r="BA32" s="65">
        <v>15</v>
      </c>
      <c r="BB32" s="8">
        <v>23</v>
      </c>
      <c r="BC32" s="8">
        <v>5.0373799999999997</v>
      </c>
      <c r="BD32" s="8">
        <v>2.91351</v>
      </c>
      <c r="BE32" s="8">
        <v>-5.0059500000000003</v>
      </c>
      <c r="BF32" s="8">
        <v>-2.8500100000000002</v>
      </c>
      <c r="BG32" s="123">
        <v>5.2999999999999999E-2</v>
      </c>
      <c r="BH32" s="124">
        <v>0.11</v>
      </c>
    </row>
    <row r="33" spans="2:60" ht="15">
      <c r="B33" s="27">
        <v>29</v>
      </c>
      <c r="C33" s="10" t="s">
        <v>30</v>
      </c>
      <c r="D33" s="10" t="s">
        <v>499</v>
      </c>
      <c r="E33" s="10" t="s">
        <v>500</v>
      </c>
      <c r="F33" s="10" t="s">
        <v>304</v>
      </c>
      <c r="G33" s="10" t="s">
        <v>304</v>
      </c>
      <c r="H33" s="10" t="s">
        <v>326</v>
      </c>
      <c r="I33" s="10" t="s">
        <v>437</v>
      </c>
      <c r="J33" s="1" t="str">
        <f t="shared" si="2"/>
        <v>1,004</v>
      </c>
      <c r="K33" s="1" t="str">
        <f t="shared" si="3"/>
        <v>-16,759</v>
      </c>
      <c r="L33" s="1" t="str">
        <f t="shared" si="4"/>
        <v>-</v>
      </c>
      <c r="M33" s="1" t="str">
        <f t="shared" si="5"/>
        <v>-</v>
      </c>
      <c r="N33" s="1" t="str">
        <f t="shared" si="6"/>
        <v>2,40</v>
      </c>
      <c r="O33" s="28" t="str">
        <f t="shared" si="7"/>
        <v>0,90</v>
      </c>
      <c r="R33" s="79">
        <v>29</v>
      </c>
      <c r="S33" s="73" t="s">
        <v>30</v>
      </c>
      <c r="T33" s="8" t="s">
        <v>501</v>
      </c>
      <c r="U33" s="8" t="s">
        <v>502</v>
      </c>
      <c r="V33" s="8" t="s">
        <v>309</v>
      </c>
      <c r="W33" s="8" t="s">
        <v>330</v>
      </c>
      <c r="X33" s="8" t="s">
        <v>331</v>
      </c>
      <c r="Y33" s="8" t="s">
        <v>441</v>
      </c>
      <c r="Z33" s="6" t="str">
        <f t="shared" si="8"/>
        <v>1,0037</v>
      </c>
      <c r="AA33" s="6" t="str">
        <f t="shared" si="9"/>
        <v>-16,7593</v>
      </c>
      <c r="AB33" s="6" t="str">
        <f t="shared" si="10"/>
        <v>0,000</v>
      </c>
      <c r="AC33" s="6">
        <v>0</v>
      </c>
      <c r="AD33" s="71">
        <v>2.4</v>
      </c>
      <c r="AE33" s="85">
        <v>0.9</v>
      </c>
      <c r="AF33" s="136" t="e">
        <f t="shared" si="12"/>
        <v>#VALUE!</v>
      </c>
      <c r="AG33" s="136">
        <f t="shared" si="13"/>
        <v>-0.9</v>
      </c>
      <c r="AI33" s="144" t="s">
        <v>343</v>
      </c>
      <c r="AJ33" s="145" t="s">
        <v>370</v>
      </c>
      <c r="AL33" s="36">
        <f>Nodos!L32*1.1</f>
        <v>36.300000000000004</v>
      </c>
      <c r="AM33">
        <f>Nodos!L32*0.9</f>
        <v>29.7</v>
      </c>
      <c r="AN33" s="33">
        <f>Z33*'DATOS ESPERADOS'!K29</f>
        <v>331221</v>
      </c>
      <c r="AQ33" s="36">
        <v>29</v>
      </c>
      <c r="AR33">
        <v>1.0037</v>
      </c>
      <c r="AS33" s="28">
        <v>-16.7593</v>
      </c>
      <c r="AT33">
        <f>AR33*'DATOS ESPERADOS'!K29</f>
        <v>33.122100000000003</v>
      </c>
      <c r="AU33" s="1">
        <v>-16.7593</v>
      </c>
      <c r="AV33" s="45">
        <v>21</v>
      </c>
      <c r="AW33" s="46">
        <v>22</v>
      </c>
      <c r="AX33" s="42" t="str">
        <f>[1]Sheet1!$V$22</f>
        <v>(-16.774641369736234+34.127718648773715j)</v>
      </c>
      <c r="AZ33" s="1">
        <v>29</v>
      </c>
      <c r="BA33" s="65">
        <v>16</v>
      </c>
      <c r="BB33" s="8">
        <v>17</v>
      </c>
      <c r="BC33" s="8">
        <v>3.6795300000000002</v>
      </c>
      <c r="BD33" s="8">
        <v>1.39713</v>
      </c>
      <c r="BE33" s="8">
        <v>-3.6720899999999999</v>
      </c>
      <c r="BF33" s="8">
        <v>-1.3698300000000001</v>
      </c>
      <c r="BG33" s="123">
        <v>1E-3</v>
      </c>
      <c r="BH33" s="124">
        <v>0</v>
      </c>
    </row>
    <row r="34" spans="2:60" ht="15">
      <c r="B34" s="29">
        <v>30</v>
      </c>
      <c r="C34" s="30" t="s">
        <v>30</v>
      </c>
      <c r="D34" s="30" t="s">
        <v>87</v>
      </c>
      <c r="E34" s="30" t="s">
        <v>503</v>
      </c>
      <c r="F34" s="30" t="s">
        <v>304</v>
      </c>
      <c r="G34" s="30" t="s">
        <v>304</v>
      </c>
      <c r="H34" s="30" t="s">
        <v>504</v>
      </c>
      <c r="I34" s="30" t="s">
        <v>505</v>
      </c>
      <c r="J34" s="31" t="str">
        <f t="shared" si="2"/>
        <v>0,992</v>
      </c>
      <c r="K34" s="31" t="str">
        <f t="shared" si="3"/>
        <v>-17,642</v>
      </c>
      <c r="L34" s="31" t="str">
        <f t="shared" si="4"/>
        <v>-</v>
      </c>
      <c r="M34" s="31" t="str">
        <f t="shared" si="5"/>
        <v>-</v>
      </c>
      <c r="N34" s="31" t="str">
        <f t="shared" si="6"/>
        <v>10,60</v>
      </c>
      <c r="O34" s="32" t="str">
        <f t="shared" si="7"/>
        <v>1,90</v>
      </c>
      <c r="R34" s="80">
        <v>30</v>
      </c>
      <c r="S34" s="81" t="s">
        <v>30</v>
      </c>
      <c r="T34" s="67" t="s">
        <v>506</v>
      </c>
      <c r="U34" s="67" t="s">
        <v>507</v>
      </c>
      <c r="V34" s="67" t="s">
        <v>309</v>
      </c>
      <c r="W34" s="67" t="s">
        <v>330</v>
      </c>
      <c r="X34" s="67" t="s">
        <v>508</v>
      </c>
      <c r="Y34" s="67" t="s">
        <v>509</v>
      </c>
      <c r="Z34" s="82" t="str">
        <f t="shared" si="8"/>
        <v>0,9922</v>
      </c>
      <c r="AA34" s="82" t="str">
        <f t="shared" si="9"/>
        <v>-17,6416</v>
      </c>
      <c r="AB34" s="82" t="str">
        <f t="shared" si="10"/>
        <v>0,000</v>
      </c>
      <c r="AC34" s="82">
        <v>0</v>
      </c>
      <c r="AD34" s="83">
        <v>10.6</v>
      </c>
      <c r="AE34" s="86">
        <v>1.9</v>
      </c>
      <c r="AF34" s="136" t="e">
        <f t="shared" si="12"/>
        <v>#VALUE!</v>
      </c>
      <c r="AG34" s="136">
        <f t="shared" si="13"/>
        <v>-1.9</v>
      </c>
      <c r="AI34" s="148" t="s">
        <v>333</v>
      </c>
      <c r="AJ34" s="149" t="s">
        <v>472</v>
      </c>
      <c r="AL34" s="37">
        <f>Nodos!L33*1.1</f>
        <v>36.300000000000004</v>
      </c>
      <c r="AM34" s="19">
        <f>Nodos!L33*0.9</f>
        <v>29.7</v>
      </c>
      <c r="AN34" s="20" t="e">
        <f>Z34*'DATOS ESPERADOS'!K30</f>
        <v>#VALUE!</v>
      </c>
      <c r="AQ34" s="37">
        <v>30</v>
      </c>
      <c r="AR34" s="19">
        <v>0.99219999999999997</v>
      </c>
      <c r="AS34" s="32">
        <v>-17.6416</v>
      </c>
      <c r="AT34" s="19">
        <f>AR34*'DATOS ESPERADOS'!K30</f>
        <v>32.742599999999996</v>
      </c>
      <c r="AU34" s="31">
        <v>-17.6416</v>
      </c>
      <c r="AV34" s="45">
        <v>15</v>
      </c>
      <c r="AW34" s="46">
        <v>23</v>
      </c>
      <c r="AX34" s="42" t="str">
        <f>[1]Sheet1!$W$16</f>
        <v>(-1.9683489489016612+3.9760648767813556j)</v>
      </c>
      <c r="AZ34" s="1">
        <v>30</v>
      </c>
      <c r="BA34" s="65">
        <v>18</v>
      </c>
      <c r="BB34" s="8">
        <v>19</v>
      </c>
      <c r="BC34" s="8">
        <v>2.77901</v>
      </c>
      <c r="BD34" s="8">
        <v>0.61922999999999995</v>
      </c>
      <c r="BE34" s="8">
        <v>-2.7741199999999999</v>
      </c>
      <c r="BF34" s="8">
        <v>-0.60933000000000004</v>
      </c>
      <c r="BG34" s="123">
        <v>3.1E-2</v>
      </c>
      <c r="BH34" s="124">
        <v>0.06</v>
      </c>
    </row>
    <row r="35" spans="2:60">
      <c r="AD35" s="72"/>
      <c r="AV35" s="45">
        <v>22</v>
      </c>
      <c r="AW35" s="46">
        <v>24</v>
      </c>
      <c r="AX35" s="42" t="str">
        <f>[1]Sheet1!$X$23</f>
        <v>(-2.5405381522555563+3.9544028630760395j)</v>
      </c>
      <c r="AZ35" s="1">
        <v>31</v>
      </c>
      <c r="BA35" s="65">
        <v>19</v>
      </c>
      <c r="BB35" s="8">
        <v>20</v>
      </c>
      <c r="BC35" s="8">
        <v>-6.7340400000000002</v>
      </c>
      <c r="BD35" s="8">
        <v>-2.8094199999999998</v>
      </c>
      <c r="BE35" s="8">
        <v>6.7512400000000001</v>
      </c>
      <c r="BF35" s="8">
        <v>2.84382</v>
      </c>
      <c r="BG35" s="123">
        <v>4.5999999999999999E-2</v>
      </c>
      <c r="BH35" s="124">
        <v>7.0000000000000007E-2</v>
      </c>
    </row>
    <row r="36" spans="2:60">
      <c r="F36" t="s">
        <v>510</v>
      </c>
      <c r="G36" t="s">
        <v>510</v>
      </c>
      <c r="H36" t="s">
        <v>510</v>
      </c>
      <c r="I36" t="s">
        <v>510</v>
      </c>
      <c r="AV36" s="45">
        <v>23</v>
      </c>
      <c r="AW36" s="46">
        <v>24</v>
      </c>
      <c r="AX36" s="42" t="str">
        <f>[1]Sheet1!$X$24</f>
        <v>(-1.4614056064833265+2.989238740534077j)</v>
      </c>
      <c r="AZ36" s="1">
        <v>32</v>
      </c>
      <c r="BA36" s="65">
        <v>21</v>
      </c>
      <c r="BB36" s="8">
        <v>22</v>
      </c>
      <c r="BC36" s="8">
        <v>-1.7757099999999999</v>
      </c>
      <c r="BD36" s="8">
        <v>-1.3156099999999999</v>
      </c>
      <c r="BE36" s="8">
        <v>1.77624</v>
      </c>
      <c r="BF36" s="8">
        <v>1.3166899999999999</v>
      </c>
      <c r="BG36" s="123">
        <v>6.0000000000000001E-3</v>
      </c>
      <c r="BH36" s="124">
        <v>0.01</v>
      </c>
    </row>
    <row r="37" spans="2:60">
      <c r="E37" t="s">
        <v>511</v>
      </c>
      <c r="F37" t="s">
        <v>512</v>
      </c>
      <c r="G37" t="s">
        <v>513</v>
      </c>
      <c r="H37" t="s">
        <v>514</v>
      </c>
      <c r="I37" t="s">
        <v>515</v>
      </c>
      <c r="AV37" s="45">
        <v>24</v>
      </c>
      <c r="AW37" s="46">
        <v>25</v>
      </c>
      <c r="AX37" s="42" t="str">
        <f>[1]Sheet1!$Y$25</f>
        <v>(-1.3098929438742493+2.287622053705055j)</v>
      </c>
      <c r="AZ37" s="1">
        <v>33</v>
      </c>
      <c r="BA37" s="65">
        <v>22</v>
      </c>
      <c r="BB37" s="8">
        <v>24</v>
      </c>
      <c r="BC37" s="8">
        <v>5.74796</v>
      </c>
      <c r="BD37" s="8">
        <v>3.0745200000000001</v>
      </c>
      <c r="BE37" s="8">
        <v>-5.70221</v>
      </c>
      <c r="BF37" s="8">
        <v>-3.0033099999999999</v>
      </c>
      <c r="BG37" s="123">
        <v>0.01</v>
      </c>
      <c r="BH37" s="124">
        <v>0.02</v>
      </c>
    </row>
    <row r="38" spans="2:60">
      <c r="AV38" s="45">
        <v>25</v>
      </c>
      <c r="AW38" s="46">
        <v>26</v>
      </c>
      <c r="AX38" s="42" t="str">
        <f>[1]Sheet1!$Z$26</f>
        <v>(-1.2165301194494857+1.8171440463475022j)</v>
      </c>
      <c r="AZ38" s="1">
        <v>34</v>
      </c>
      <c r="BA38" s="65">
        <v>23</v>
      </c>
      <c r="BB38" s="8">
        <v>24</v>
      </c>
      <c r="BC38" s="8">
        <v>1.8065800000000001</v>
      </c>
      <c r="BD38" s="8">
        <v>1.24952</v>
      </c>
      <c r="BE38" s="8">
        <v>-1.8005500000000001</v>
      </c>
      <c r="BF38" s="8">
        <v>-1.2371799999999999</v>
      </c>
      <c r="BG38" s="123">
        <v>4.4999999999999998E-2</v>
      </c>
      <c r="BH38" s="124">
        <v>7.0000000000000007E-2</v>
      </c>
    </row>
    <row r="39" spans="2:60">
      <c r="AV39" s="45">
        <v>25</v>
      </c>
      <c r="AW39" s="46">
        <v>27</v>
      </c>
      <c r="AX39" s="42" t="str">
        <f>[1]Sheet1!$AA$26</f>
        <v>(-1.9692920169982515+3.760212661917064j)</v>
      </c>
      <c r="AZ39" s="1">
        <v>35</v>
      </c>
      <c r="BA39" s="65">
        <v>24</v>
      </c>
      <c r="BB39" s="8">
        <v>25</v>
      </c>
      <c r="BC39" s="8">
        <v>-1.2117</v>
      </c>
      <c r="BD39" s="8">
        <v>2.0062700000000002</v>
      </c>
      <c r="BE39" s="8">
        <v>1.2216199999999999</v>
      </c>
      <c r="BF39" s="8">
        <v>-1.98895</v>
      </c>
      <c r="BG39" s="123">
        <v>2.4E-2</v>
      </c>
      <c r="BH39" s="124">
        <v>0.05</v>
      </c>
    </row>
    <row r="40" spans="2:60">
      <c r="AV40" s="45">
        <v>28</v>
      </c>
      <c r="AW40" s="46">
        <v>27</v>
      </c>
      <c r="AX40" s="42" t="str">
        <f>[1]Sheet1!$AA$29</f>
        <v>2.608731947574923j</v>
      </c>
      <c r="AZ40" s="1">
        <v>36</v>
      </c>
      <c r="BA40" s="65">
        <v>25</v>
      </c>
      <c r="BB40" s="8">
        <v>26</v>
      </c>
      <c r="BC40" s="8">
        <v>3.5478700000000001</v>
      </c>
      <c r="BD40" s="8">
        <v>2.3718400000000002</v>
      </c>
      <c r="BE40" s="8">
        <v>-3.50312</v>
      </c>
      <c r="BF40" s="8">
        <v>-2.3050099999999998</v>
      </c>
      <c r="BG40" s="123">
        <v>0</v>
      </c>
      <c r="BH40" s="124">
        <v>1.29</v>
      </c>
    </row>
    <row r="41" spans="2:60">
      <c r="AV41" s="45">
        <v>27</v>
      </c>
      <c r="AW41" s="46">
        <v>29</v>
      </c>
      <c r="AX41" s="42" t="str">
        <f>[1]Sheet1!$AC$28</f>
        <v>(-0.9955335509526799+1.881005840357816j)</v>
      </c>
      <c r="AZ41" s="1">
        <v>37</v>
      </c>
      <c r="BA41" s="65">
        <v>25</v>
      </c>
      <c r="BB41" s="8">
        <v>27</v>
      </c>
      <c r="BC41" s="8">
        <v>-4.7587799999999998</v>
      </c>
      <c r="BD41" s="8">
        <v>-0.36360999999999999</v>
      </c>
      <c r="BE41" s="8">
        <v>4.7828200000000001</v>
      </c>
      <c r="BF41" s="8">
        <v>0.40952</v>
      </c>
      <c r="BG41" s="123">
        <v>8.5999999999999993E-2</v>
      </c>
      <c r="BH41" s="124">
        <v>0.16</v>
      </c>
    </row>
    <row r="42" spans="2:60">
      <c r="AV42" s="45">
        <v>27</v>
      </c>
      <c r="AW42" s="46">
        <v>30</v>
      </c>
      <c r="AX42" s="42" t="str">
        <f>[1]Sheet1!$AD$28</f>
        <v>(-0.6874559028276572+1.293971494797717j)</v>
      </c>
      <c r="AZ42" s="1">
        <v>38</v>
      </c>
      <c r="BA42" s="65">
        <v>27</v>
      </c>
      <c r="BB42" s="8">
        <v>29</v>
      </c>
      <c r="BC42" s="8">
        <v>6.1862399999999997</v>
      </c>
      <c r="BD42" s="8">
        <v>1.66249</v>
      </c>
      <c r="BE42" s="8">
        <v>-6.1001399999999997</v>
      </c>
      <c r="BF42" s="8">
        <v>-1.4998199999999999</v>
      </c>
      <c r="BG42" s="123">
        <v>0.16200000000000001</v>
      </c>
      <c r="BH42" s="124">
        <v>0.31</v>
      </c>
    </row>
    <row r="43" spans="2:60">
      <c r="AV43" s="45">
        <v>29</v>
      </c>
      <c r="AW43" s="46">
        <v>30</v>
      </c>
      <c r="AX43" s="42" t="str">
        <f>[1]Sheet1!$AD$30</f>
        <v>(-0.9120532070322762+1.7233585608492321j)</v>
      </c>
      <c r="AZ43" s="1">
        <v>39</v>
      </c>
      <c r="BA43" s="65">
        <v>27</v>
      </c>
      <c r="BB43" s="8">
        <v>30</v>
      </c>
      <c r="BC43" s="8">
        <v>7.0912300000000004</v>
      </c>
      <c r="BD43" s="8">
        <v>1.66235</v>
      </c>
      <c r="BE43" s="8">
        <v>-6.9290700000000003</v>
      </c>
      <c r="BF43" s="8">
        <v>-1.3571299999999999</v>
      </c>
      <c r="BG43" s="123">
        <v>3.4000000000000002E-2</v>
      </c>
      <c r="BH43" s="124">
        <v>0.06</v>
      </c>
    </row>
    <row r="44" spans="2:60">
      <c r="AV44" s="45">
        <v>8</v>
      </c>
      <c r="AW44" s="46">
        <v>28</v>
      </c>
      <c r="AX44" s="42" t="str">
        <f>[1]Sheet1!$AB$9</f>
        <v>(-1.4439790613954469+4.540814658476248j)</v>
      </c>
      <c r="AZ44" s="1">
        <v>40</v>
      </c>
      <c r="BA44" s="65">
        <v>28</v>
      </c>
      <c r="BB44" s="8">
        <v>27</v>
      </c>
      <c r="BC44" s="8">
        <v>17.490079999999999</v>
      </c>
      <c r="BD44" s="8">
        <v>4.88436</v>
      </c>
      <c r="BE44" s="8">
        <v>-18.068259999999999</v>
      </c>
      <c r="BF44" s="8">
        <v>-3.7583199999999999</v>
      </c>
      <c r="BG44" s="123">
        <v>2E-3</v>
      </c>
      <c r="BH44" s="124">
        <v>0.01</v>
      </c>
    </row>
    <row r="45" spans="2:60">
      <c r="AV45" s="47">
        <v>6</v>
      </c>
      <c r="AW45" s="48">
        <v>28</v>
      </c>
      <c r="AX45" s="22" t="str">
        <f>[1]Sheet1!$AB$7</f>
        <v>(-4.362844058012917+15.463571542897856j)</v>
      </c>
      <c r="AZ45" s="1">
        <v>41</v>
      </c>
      <c r="BA45" s="66">
        <v>29</v>
      </c>
      <c r="BB45" s="67">
        <v>30</v>
      </c>
      <c r="BC45" s="67">
        <v>3.7062599999999999</v>
      </c>
      <c r="BD45" s="67">
        <v>0.61092000000000002</v>
      </c>
      <c r="BE45" s="67">
        <v>-3.67266</v>
      </c>
      <c r="BF45" s="67">
        <v>-0.54744000000000004</v>
      </c>
      <c r="BG45" s="123">
        <v>5.8000000000000003E-2</v>
      </c>
      <c r="BH45" s="124">
        <v>0.2</v>
      </c>
    </row>
  </sheetData>
  <mergeCells count="13">
    <mergeCell ref="AL3:AN3"/>
    <mergeCell ref="R2:AE2"/>
    <mergeCell ref="B2:O2"/>
    <mergeCell ref="B3:B4"/>
    <mergeCell ref="C3:C4"/>
    <mergeCell ref="R3:R4"/>
    <mergeCell ref="S3:S4"/>
    <mergeCell ref="AX3:AX4"/>
    <mergeCell ref="AQ3:AQ4"/>
    <mergeCell ref="AR3:AR4"/>
    <mergeCell ref="AS3:AS4"/>
    <mergeCell ref="AV3:AV4"/>
    <mergeCell ref="AW3:AW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F923-1867-4E6C-BB4A-F3288D341CD7}">
  <dimension ref="B1:AD45"/>
  <sheetViews>
    <sheetView tabSelected="1" topLeftCell="H1" zoomScale="91" zoomScaleNormal="91" workbookViewId="0">
      <selection activeCell="P5" sqref="P5"/>
    </sheetView>
  </sheetViews>
  <sheetFormatPr baseColWidth="10" defaultColWidth="11.3984375" defaultRowHeight="13.8"/>
  <cols>
    <col min="4" max="4" width="0" hidden="1" customWidth="1"/>
    <col min="13" max="13" width="13.69921875" style="55" customWidth="1"/>
    <col min="14" max="16" width="15.09765625" style="55" customWidth="1"/>
    <col min="23" max="23" width="6.69921875" bestFit="1" customWidth="1"/>
    <col min="24" max="24" width="3.69921875" bestFit="1" customWidth="1"/>
    <col min="25" max="25" width="16.69921875" bestFit="1" customWidth="1"/>
  </cols>
  <sheetData>
    <row r="1" spans="2:30" ht="14.4" thickBot="1"/>
    <row r="2" spans="2:30" ht="14.4" thickBot="1">
      <c r="B2" s="201" t="s">
        <v>269</v>
      </c>
      <c r="C2" s="202"/>
      <c r="D2" s="202"/>
      <c r="E2" s="202"/>
      <c r="F2" s="202"/>
      <c r="G2" s="202"/>
      <c r="H2" s="202"/>
      <c r="I2" s="203"/>
      <c r="J2" s="10"/>
      <c r="K2" s="10"/>
      <c r="M2" s="208" t="s">
        <v>516</v>
      </c>
      <c r="N2" s="209"/>
      <c r="O2" s="209"/>
      <c r="P2" s="210"/>
    </row>
    <row r="3" spans="2:30">
      <c r="B3" s="204" t="s">
        <v>6</v>
      </c>
      <c r="C3" s="17" t="s">
        <v>274</v>
      </c>
      <c r="D3" s="17"/>
      <c r="E3" s="17" t="s">
        <v>271</v>
      </c>
      <c r="F3" s="17" t="s">
        <v>201</v>
      </c>
      <c r="G3" s="17" t="s">
        <v>202</v>
      </c>
      <c r="H3" s="17" t="s">
        <v>272</v>
      </c>
      <c r="I3" s="18" t="s">
        <v>273</v>
      </c>
      <c r="J3" s="17" t="s">
        <v>275</v>
      </c>
      <c r="K3" s="18" t="s">
        <v>276</v>
      </c>
      <c r="M3" s="211"/>
      <c r="N3" s="212"/>
      <c r="O3" s="212"/>
      <c r="P3" s="213"/>
      <c r="R3" s="201" t="s">
        <v>277</v>
      </c>
      <c r="S3" s="202"/>
      <c r="T3" s="203"/>
    </row>
    <row r="4" spans="2:30" ht="28.8">
      <c r="B4" s="206"/>
      <c r="C4" t="s">
        <v>281</v>
      </c>
      <c r="E4" t="s">
        <v>282</v>
      </c>
      <c r="F4" t="s">
        <v>283</v>
      </c>
      <c r="G4" t="s">
        <v>284</v>
      </c>
      <c r="H4" t="s">
        <v>283</v>
      </c>
      <c r="I4" s="33" t="s">
        <v>284</v>
      </c>
      <c r="J4" t="s">
        <v>283</v>
      </c>
      <c r="K4" s="33" t="s">
        <v>284</v>
      </c>
      <c r="M4" s="142" t="s">
        <v>274</v>
      </c>
      <c r="N4" s="154" t="s">
        <v>271</v>
      </c>
      <c r="O4" s="97" t="s">
        <v>517</v>
      </c>
      <c r="P4" s="98" t="s">
        <v>518</v>
      </c>
      <c r="R4" s="56" t="s">
        <v>287</v>
      </c>
      <c r="S4" s="57" t="s">
        <v>288</v>
      </c>
      <c r="T4" s="58" t="s">
        <v>289</v>
      </c>
      <c r="W4" s="60" t="s">
        <v>292</v>
      </c>
      <c r="X4" s="61" t="s">
        <v>293</v>
      </c>
      <c r="Y4" s="62" t="s">
        <v>294</v>
      </c>
      <c r="Z4" s="62" t="s">
        <v>295</v>
      </c>
      <c r="AA4" s="62" t="s">
        <v>296</v>
      </c>
      <c r="AB4" s="62" t="s">
        <v>297</v>
      </c>
      <c r="AC4" s="62" t="s">
        <v>298</v>
      </c>
      <c r="AD4" s="63" t="s">
        <v>299</v>
      </c>
    </row>
    <row r="5" spans="2:30">
      <c r="B5" s="88">
        <v>1</v>
      </c>
      <c r="C5" s="89">
        <v>1.06</v>
      </c>
      <c r="D5" s="25" t="s">
        <v>306</v>
      </c>
      <c r="E5" s="25" t="str">
        <f t="shared" ref="E5:E34" si="0">SUBSTITUTE(D5,".",",")</f>
        <v>0,0000</v>
      </c>
      <c r="F5" s="90">
        <v>260.2</v>
      </c>
      <c r="G5" s="25">
        <v>-25.053000000000001</v>
      </c>
      <c r="H5" s="91">
        <v>0</v>
      </c>
      <c r="I5" s="25">
        <v>0</v>
      </c>
      <c r="J5" s="90">
        <f>F5-H5</f>
        <v>260.2</v>
      </c>
      <c r="K5" s="26">
        <f>G5-I5</f>
        <v>-25.053000000000001</v>
      </c>
      <c r="M5" s="155">
        <v>0</v>
      </c>
      <c r="N5" s="156">
        <v>0</v>
      </c>
      <c r="O5" s="184">
        <f>J5</f>
        <v>260.2</v>
      </c>
      <c r="P5" s="185">
        <f>K5</f>
        <v>-25.053000000000001</v>
      </c>
      <c r="R5" s="35">
        <f>Nodos!L4*1.1</f>
        <v>145.20000000000002</v>
      </c>
      <c r="S5" s="17">
        <f>Nodos!L4*0.9</f>
        <v>118.8</v>
      </c>
      <c r="T5" s="18">
        <f>C5*Nodos!L4</f>
        <v>139.92000000000002</v>
      </c>
      <c r="W5" s="35">
        <v>1</v>
      </c>
      <c r="X5" s="17">
        <v>2</v>
      </c>
      <c r="Y5" s="17">
        <v>195.915379</v>
      </c>
      <c r="Z5" s="17">
        <v>-26.841073999999999</v>
      </c>
      <c r="AA5" s="17">
        <v>189.23343800000001</v>
      </c>
      <c r="AB5" s="17">
        <v>-46.852097000000001</v>
      </c>
      <c r="AC5" s="17">
        <v>6.6819420000000003</v>
      </c>
      <c r="AD5" s="18">
        <v>20.011023000000002</v>
      </c>
    </row>
    <row r="6" spans="2:30">
      <c r="B6" s="49">
        <v>2</v>
      </c>
      <c r="C6" s="92">
        <v>1.0449999999999999</v>
      </c>
      <c r="D6" s="2" t="s">
        <v>519</v>
      </c>
      <c r="E6" s="1" t="str">
        <f t="shared" si="0"/>
        <v>-6,1050</v>
      </c>
      <c r="F6" s="93">
        <v>40</v>
      </c>
      <c r="G6" s="92">
        <v>66.875</v>
      </c>
      <c r="H6" s="87">
        <v>23.87</v>
      </c>
      <c r="I6" s="1">
        <v>13.97</v>
      </c>
      <c r="J6" s="87">
        <f t="shared" ref="J6:J34" si="1">F6-H6</f>
        <v>16.13</v>
      </c>
      <c r="K6" s="28">
        <f t="shared" ref="K6:K34" si="2">G6-I6</f>
        <v>52.905000000000001</v>
      </c>
      <c r="M6" s="155">
        <v>0</v>
      </c>
      <c r="N6" s="156">
        <v>0.14000000000000001</v>
      </c>
      <c r="O6" s="184">
        <f t="shared" ref="O6:O34" si="3">J6</f>
        <v>16.13</v>
      </c>
      <c r="P6" s="185">
        <f t="shared" ref="P6:P34" si="4">K6</f>
        <v>52.905000000000001</v>
      </c>
      <c r="R6" s="36">
        <f>Nodos!L5*1.1</f>
        <v>145.20000000000002</v>
      </c>
      <c r="S6">
        <f>Nodos!L5*0.9</f>
        <v>118.8</v>
      </c>
      <c r="T6" s="33">
        <f>C6*Nodos!L5</f>
        <v>137.94</v>
      </c>
      <c r="W6" s="36">
        <v>1</v>
      </c>
      <c r="X6">
        <v>3</v>
      </c>
      <c r="Y6">
        <v>97.669650000000004</v>
      </c>
      <c r="Z6">
        <v>7.0222280000000001</v>
      </c>
      <c r="AA6">
        <v>93.812334000000007</v>
      </c>
      <c r="AB6">
        <v>-7.0757490000000001</v>
      </c>
      <c r="AC6">
        <v>3.857316</v>
      </c>
      <c r="AD6" s="33">
        <v>14.097977</v>
      </c>
    </row>
    <row r="7" spans="2:30">
      <c r="B7" s="49">
        <v>3</v>
      </c>
      <c r="C7" s="94">
        <v>1.0184</v>
      </c>
      <c r="D7" s="2" t="s">
        <v>520</v>
      </c>
      <c r="E7" s="1" t="str">
        <f t="shared" si="0"/>
        <v>-8,4257</v>
      </c>
      <c r="F7" s="95">
        <v>0</v>
      </c>
      <c r="G7" s="96">
        <v>0</v>
      </c>
      <c r="H7" s="87">
        <v>2.64</v>
      </c>
      <c r="I7" s="1">
        <v>1.32</v>
      </c>
      <c r="J7" s="87">
        <f t="shared" si="1"/>
        <v>-2.64</v>
      </c>
      <c r="K7" s="28">
        <f t="shared" si="2"/>
        <v>-1.32</v>
      </c>
      <c r="M7" s="155">
        <v>0</v>
      </c>
      <c r="N7" s="156">
        <v>0.12</v>
      </c>
      <c r="O7" s="184">
        <f t="shared" si="3"/>
        <v>-2.64</v>
      </c>
      <c r="P7" s="185">
        <f t="shared" si="4"/>
        <v>-1.32</v>
      </c>
      <c r="R7" s="36">
        <f>Nodos!L6*1.1</f>
        <v>145.20000000000002</v>
      </c>
      <c r="S7">
        <f>Nodos!L6*0.9</f>
        <v>118.8</v>
      </c>
      <c r="T7" s="33">
        <f>C7*Nodos!L6</f>
        <v>134.4288</v>
      </c>
      <c r="W7" s="36">
        <v>2</v>
      </c>
      <c r="X7">
        <v>4</v>
      </c>
      <c r="Y7">
        <v>47.874915999999999</v>
      </c>
      <c r="Z7">
        <v>7.4687270000000003</v>
      </c>
      <c r="AA7">
        <v>46.649450000000002</v>
      </c>
      <c r="AB7">
        <v>3.7342789999999999</v>
      </c>
      <c r="AC7">
        <v>1.2254659999999999</v>
      </c>
      <c r="AD7" s="33">
        <v>3.734448</v>
      </c>
    </row>
    <row r="8" spans="2:30">
      <c r="B8" s="49">
        <v>4</v>
      </c>
      <c r="C8" s="94">
        <v>1.0093000000000001</v>
      </c>
      <c r="D8" s="2" t="s">
        <v>521</v>
      </c>
      <c r="E8" s="1" t="str">
        <f t="shared" si="0"/>
        <v>-10,3952</v>
      </c>
      <c r="F8" s="95">
        <v>0</v>
      </c>
      <c r="G8" s="96">
        <v>0</v>
      </c>
      <c r="H8" s="87">
        <v>8.36</v>
      </c>
      <c r="I8" s="1">
        <v>1.76</v>
      </c>
      <c r="J8" s="87">
        <f t="shared" si="1"/>
        <v>-8.36</v>
      </c>
      <c r="K8" s="28">
        <f t="shared" si="2"/>
        <v>-1.76</v>
      </c>
      <c r="M8" s="155">
        <v>0</v>
      </c>
      <c r="N8" s="156">
        <v>0.12</v>
      </c>
      <c r="O8" s="184">
        <f t="shared" si="3"/>
        <v>-8.36</v>
      </c>
      <c r="P8" s="185">
        <f t="shared" si="4"/>
        <v>-1.76</v>
      </c>
      <c r="R8" s="36">
        <f>Nodos!L7*1.1</f>
        <v>145.20000000000002</v>
      </c>
      <c r="S8">
        <f>Nodos!L7*0.9</f>
        <v>118.8</v>
      </c>
      <c r="T8" s="33">
        <f>C8*Nodos!L7</f>
        <v>133.22760000000002</v>
      </c>
      <c r="W8" s="36">
        <v>3</v>
      </c>
      <c r="X8">
        <v>4</v>
      </c>
      <c r="Y8">
        <v>91.216346000000001</v>
      </c>
      <c r="Z8">
        <v>-5.7148190000000003</v>
      </c>
      <c r="AA8">
        <v>90.153222</v>
      </c>
      <c r="AB8">
        <v>-8.7672729999999994</v>
      </c>
      <c r="AC8">
        <v>1.063124</v>
      </c>
      <c r="AD8" s="33">
        <v>3.052454</v>
      </c>
    </row>
    <row r="9" spans="2:30">
      <c r="B9" s="49">
        <v>5</v>
      </c>
      <c r="C9" s="93">
        <v>1.01</v>
      </c>
      <c r="D9" s="2" t="s">
        <v>522</v>
      </c>
      <c r="E9" s="1" t="str">
        <f t="shared" si="0"/>
        <v>-15,8379</v>
      </c>
      <c r="F9" s="95">
        <v>0</v>
      </c>
      <c r="G9" s="92">
        <v>43.470999999999997</v>
      </c>
      <c r="H9" s="87">
        <v>103.62</v>
      </c>
      <c r="I9" s="1">
        <v>20.9</v>
      </c>
      <c r="J9" s="87">
        <f t="shared" si="1"/>
        <v>-103.62</v>
      </c>
      <c r="K9" s="28">
        <f t="shared" si="2"/>
        <v>22.570999999999998</v>
      </c>
      <c r="M9" s="155">
        <v>0</v>
      </c>
      <c r="N9" s="156">
        <v>0.12</v>
      </c>
      <c r="O9" s="184">
        <f t="shared" si="3"/>
        <v>-103.62</v>
      </c>
      <c r="P9" s="185">
        <f t="shared" si="4"/>
        <v>22.570999999999998</v>
      </c>
      <c r="R9" s="36">
        <f>Nodos!L8*1.1</f>
        <v>145.20000000000002</v>
      </c>
      <c r="S9">
        <f>Nodos!L8*0.9</f>
        <v>118.8</v>
      </c>
      <c r="T9" s="33">
        <f>C9*Nodos!L8</f>
        <v>133.32</v>
      </c>
      <c r="W9" s="36">
        <v>2</v>
      </c>
      <c r="X9">
        <v>5</v>
      </c>
      <c r="Y9">
        <v>91.035576000000006</v>
      </c>
      <c r="Z9">
        <v>4.4365940000000004</v>
      </c>
      <c r="AA9">
        <v>87.445018000000005</v>
      </c>
      <c r="AB9">
        <v>-10.648313999999999</v>
      </c>
      <c r="AC9">
        <v>3.5905580000000001</v>
      </c>
      <c r="AD9" s="33">
        <v>15.084909</v>
      </c>
    </row>
    <row r="10" spans="2:30">
      <c r="B10" s="49">
        <v>6</v>
      </c>
      <c r="C10" s="94">
        <v>1.0084</v>
      </c>
      <c r="D10" s="2" t="s">
        <v>523</v>
      </c>
      <c r="E10" s="1" t="str">
        <f t="shared" si="0"/>
        <v>-12,3809</v>
      </c>
      <c r="F10" s="95">
        <v>0</v>
      </c>
      <c r="G10" s="96">
        <v>0</v>
      </c>
      <c r="H10" s="95">
        <v>0</v>
      </c>
      <c r="I10" s="1">
        <v>0</v>
      </c>
      <c r="J10" s="87">
        <f t="shared" si="1"/>
        <v>0</v>
      </c>
      <c r="K10" s="28">
        <f t="shared" si="2"/>
        <v>0</v>
      </c>
      <c r="M10" s="155">
        <v>0</v>
      </c>
      <c r="N10" s="156">
        <v>0.12</v>
      </c>
      <c r="O10" s="184">
        <f t="shared" si="3"/>
        <v>0</v>
      </c>
      <c r="P10" s="185">
        <f t="shared" si="4"/>
        <v>0</v>
      </c>
      <c r="R10" s="36">
        <f>Nodos!L9*1.1</f>
        <v>145.20000000000002</v>
      </c>
      <c r="S10">
        <f>Nodos!L9*0.9</f>
        <v>118.8</v>
      </c>
      <c r="T10" s="33">
        <f>C10*Nodos!L9</f>
        <v>133.1088</v>
      </c>
      <c r="W10" s="36">
        <v>2</v>
      </c>
      <c r="X10">
        <v>6</v>
      </c>
      <c r="Y10">
        <v>66.453119000000001</v>
      </c>
      <c r="Z10">
        <v>3.376633</v>
      </c>
      <c r="AA10">
        <v>64.097559000000004</v>
      </c>
      <c r="AB10">
        <v>-3.7711329999999998</v>
      </c>
      <c r="AC10">
        <v>2.3555600000000001</v>
      </c>
      <c r="AD10" s="33">
        <v>7.1477659999999998</v>
      </c>
    </row>
    <row r="11" spans="2:30">
      <c r="B11" s="49">
        <v>7</v>
      </c>
      <c r="C11" s="94">
        <v>1.0004</v>
      </c>
      <c r="D11" s="2" t="s">
        <v>524</v>
      </c>
      <c r="E11" s="1" t="str">
        <f t="shared" si="0"/>
        <v>-14,3800</v>
      </c>
      <c r="F11" s="95">
        <v>0</v>
      </c>
      <c r="G11" s="96">
        <v>0</v>
      </c>
      <c r="H11" s="87">
        <v>25.08</v>
      </c>
      <c r="I11" s="1">
        <v>11.99</v>
      </c>
      <c r="J11" s="87">
        <f t="shared" si="1"/>
        <v>-25.08</v>
      </c>
      <c r="K11" s="28">
        <f t="shared" si="2"/>
        <v>-11.99</v>
      </c>
      <c r="M11" s="155">
        <v>0</v>
      </c>
      <c r="N11" s="156">
        <v>0.12</v>
      </c>
      <c r="O11" s="184">
        <f t="shared" si="3"/>
        <v>-25.08</v>
      </c>
      <c r="P11" s="185">
        <f t="shared" si="4"/>
        <v>-11.99</v>
      </c>
      <c r="R11" s="36">
        <f>Nodos!L10*1.1</f>
        <v>145.20000000000002</v>
      </c>
      <c r="S11">
        <f>Nodos!L10*0.9</f>
        <v>118.8</v>
      </c>
      <c r="T11" s="33">
        <f>C11*Nodos!L10</f>
        <v>132.05279999999999</v>
      </c>
      <c r="W11" s="36">
        <v>4</v>
      </c>
      <c r="X11">
        <v>6</v>
      </c>
      <c r="Y11">
        <v>79.657364999999999</v>
      </c>
      <c r="Z11">
        <v>-19.226296999999999</v>
      </c>
      <c r="AA11">
        <v>78.872945000000001</v>
      </c>
      <c r="AB11">
        <v>-21.955290000000002</v>
      </c>
      <c r="AC11">
        <v>0.78442100000000003</v>
      </c>
      <c r="AD11" s="33">
        <v>2.7289919999999999</v>
      </c>
    </row>
    <row r="12" spans="2:30">
      <c r="B12" s="49">
        <v>8</v>
      </c>
      <c r="C12" s="93">
        <v>1.01</v>
      </c>
      <c r="D12" s="2" t="s">
        <v>525</v>
      </c>
      <c r="E12" s="1" t="str">
        <f t="shared" si="0"/>
        <v>-13,2377</v>
      </c>
      <c r="F12" s="95">
        <v>0</v>
      </c>
      <c r="G12" s="92">
        <v>46.61</v>
      </c>
      <c r="H12" s="87">
        <v>33</v>
      </c>
      <c r="I12" s="1">
        <v>33</v>
      </c>
      <c r="J12" s="87">
        <f t="shared" si="1"/>
        <v>-33</v>
      </c>
      <c r="K12" s="28">
        <f t="shared" si="2"/>
        <v>13.61</v>
      </c>
      <c r="M12" s="155">
        <v>0</v>
      </c>
      <c r="N12" s="156">
        <v>0.12</v>
      </c>
      <c r="O12" s="184">
        <f t="shared" si="3"/>
        <v>-33</v>
      </c>
      <c r="P12" s="185">
        <f t="shared" si="4"/>
        <v>13.61</v>
      </c>
      <c r="R12" s="36">
        <f>Nodos!L11*1.1</f>
        <v>145.20000000000002</v>
      </c>
      <c r="S12">
        <f>Nodos!L11*0.9</f>
        <v>118.8</v>
      </c>
      <c r="T12" s="33">
        <f>C12*Nodos!L11</f>
        <v>133.32</v>
      </c>
      <c r="W12" s="36">
        <v>5</v>
      </c>
      <c r="X12">
        <v>7</v>
      </c>
      <c r="Y12">
        <v>-16.189079</v>
      </c>
      <c r="Z12">
        <v>15.060392</v>
      </c>
      <c r="AA12">
        <v>-16.409542999999999</v>
      </c>
      <c r="AB12">
        <v>14.504441</v>
      </c>
      <c r="AC12">
        <v>0.22046299999999999</v>
      </c>
      <c r="AD12" s="33">
        <v>0.55595099999999997</v>
      </c>
    </row>
    <row r="13" spans="2:30">
      <c r="B13" s="49">
        <v>9</v>
      </c>
      <c r="C13" s="94">
        <v>1.0476000000000001</v>
      </c>
      <c r="D13" s="2" t="s">
        <v>526</v>
      </c>
      <c r="E13" s="1" t="str">
        <f t="shared" si="0"/>
        <v>-15,7435</v>
      </c>
      <c r="F13" s="95">
        <v>0</v>
      </c>
      <c r="G13" s="96">
        <v>0</v>
      </c>
      <c r="H13" s="95">
        <v>0</v>
      </c>
      <c r="I13" s="1">
        <v>0</v>
      </c>
      <c r="J13" s="87">
        <f t="shared" si="1"/>
        <v>0</v>
      </c>
      <c r="K13" s="28">
        <f t="shared" si="2"/>
        <v>0</v>
      </c>
      <c r="M13" s="155">
        <v>0</v>
      </c>
      <c r="N13" s="156">
        <v>0.12</v>
      </c>
      <c r="O13" s="184">
        <f t="shared" si="3"/>
        <v>0</v>
      </c>
      <c r="P13" s="185">
        <f t="shared" si="4"/>
        <v>0</v>
      </c>
      <c r="R13" s="36">
        <f>Nodos!L12*1.1</f>
        <v>1.1000000000000001</v>
      </c>
      <c r="S13">
        <f>Nodos!L12*0.9</f>
        <v>0.9</v>
      </c>
      <c r="T13" s="33">
        <f>C13*Nodos!L12</f>
        <v>1.0476000000000001</v>
      </c>
      <c r="W13" s="36">
        <v>6</v>
      </c>
      <c r="X13">
        <v>7</v>
      </c>
      <c r="Y13">
        <v>41.918607999999999</v>
      </c>
      <c r="Z13">
        <v>-3.0623</v>
      </c>
      <c r="AA13">
        <v>41.454765999999999</v>
      </c>
      <c r="AB13">
        <v>-4.4868360000000003</v>
      </c>
      <c r="AC13">
        <v>0.46384300000000001</v>
      </c>
      <c r="AD13" s="33">
        <v>1.424536</v>
      </c>
    </row>
    <row r="14" spans="2:30">
      <c r="B14" s="49">
        <v>10</v>
      </c>
      <c r="C14" s="94">
        <v>1.0395000000000001</v>
      </c>
      <c r="D14" s="2" t="s">
        <v>527</v>
      </c>
      <c r="E14" s="1" t="str">
        <f t="shared" si="0"/>
        <v>-17,5067</v>
      </c>
      <c r="F14" s="95">
        <v>0</v>
      </c>
      <c r="G14" s="96">
        <v>0</v>
      </c>
      <c r="H14" s="87">
        <v>6.38</v>
      </c>
      <c r="I14" s="1">
        <v>2.2000000000000002</v>
      </c>
      <c r="J14" s="87">
        <f t="shared" si="1"/>
        <v>-6.38</v>
      </c>
      <c r="K14" s="28">
        <f t="shared" si="2"/>
        <v>-2.2000000000000002</v>
      </c>
      <c r="M14" s="155">
        <v>-0.01</v>
      </c>
      <c r="N14" s="156">
        <v>0.12</v>
      </c>
      <c r="O14" s="184">
        <f t="shared" si="3"/>
        <v>-6.38</v>
      </c>
      <c r="P14" s="185">
        <f t="shared" si="4"/>
        <v>-2.2000000000000002</v>
      </c>
      <c r="R14" s="36">
        <f>Nodos!L13*1.1</f>
        <v>36.300000000000004</v>
      </c>
      <c r="S14">
        <f>Nodos!L13*0.9</f>
        <v>29.7</v>
      </c>
      <c r="T14" s="33">
        <f>C14*Nodos!L13</f>
        <v>34.3035</v>
      </c>
      <c r="W14" s="36">
        <v>6</v>
      </c>
      <c r="X14">
        <v>8</v>
      </c>
      <c r="Y14">
        <v>32.581645000000002</v>
      </c>
      <c r="Z14">
        <v>-12.879433000000001</v>
      </c>
      <c r="AA14">
        <v>32.436794999999996</v>
      </c>
      <c r="AB14">
        <v>-13.386407</v>
      </c>
      <c r="AC14">
        <v>0.14485000000000001</v>
      </c>
      <c r="AD14" s="33">
        <v>0.50697300000000001</v>
      </c>
    </row>
    <row r="15" spans="2:30">
      <c r="B15" s="49">
        <v>11</v>
      </c>
      <c r="C15" s="92">
        <v>1.0820000000000001</v>
      </c>
      <c r="D15" s="2" t="s">
        <v>526</v>
      </c>
      <c r="E15" s="1" t="str">
        <f t="shared" si="0"/>
        <v>-15,7435</v>
      </c>
      <c r="F15" s="95">
        <v>0</v>
      </c>
      <c r="G15" s="1">
        <v>17.907</v>
      </c>
      <c r="H15" s="95">
        <v>0</v>
      </c>
      <c r="I15" s="1">
        <v>0</v>
      </c>
      <c r="J15" s="87">
        <f t="shared" si="1"/>
        <v>0</v>
      </c>
      <c r="K15" s="28">
        <f t="shared" si="2"/>
        <v>17.907</v>
      </c>
      <c r="M15" s="155">
        <v>0</v>
      </c>
      <c r="N15" s="156">
        <v>0.12</v>
      </c>
      <c r="O15" s="184">
        <f t="shared" si="3"/>
        <v>0</v>
      </c>
      <c r="P15" s="185">
        <f t="shared" si="4"/>
        <v>17.907</v>
      </c>
      <c r="R15" s="36">
        <f>Nodos!L14*1.1</f>
        <v>12.100000000000001</v>
      </c>
      <c r="S15">
        <f>Nodos!L14*0.9</f>
        <v>9.9</v>
      </c>
      <c r="T15" s="33">
        <f>C15*Nodos!L14</f>
        <v>11.902000000000001</v>
      </c>
      <c r="W15" s="36">
        <v>6</v>
      </c>
      <c r="X15">
        <v>9</v>
      </c>
      <c r="Y15">
        <v>30.459962999999998</v>
      </c>
      <c r="Z15">
        <v>-18.537883999999998</v>
      </c>
      <c r="AA15">
        <v>30.459962999999998</v>
      </c>
      <c r="AB15">
        <v>-21.081433000000001</v>
      </c>
      <c r="AC15">
        <v>0</v>
      </c>
      <c r="AD15" s="33">
        <v>2.5435490000000001</v>
      </c>
    </row>
    <row r="16" spans="2:30">
      <c r="B16" s="49">
        <v>12</v>
      </c>
      <c r="C16" s="94">
        <v>1.0536000000000001</v>
      </c>
      <c r="D16" s="2" t="s">
        <v>528</v>
      </c>
      <c r="E16" s="1" t="str">
        <f t="shared" si="0"/>
        <v>-16,6751</v>
      </c>
      <c r="F16" s="95">
        <v>0</v>
      </c>
      <c r="G16" s="96">
        <v>0</v>
      </c>
      <c r="H16" s="87">
        <v>12.32</v>
      </c>
      <c r="I16" s="1">
        <v>8.25</v>
      </c>
      <c r="J16" s="87">
        <f t="shared" si="1"/>
        <v>-12.32</v>
      </c>
      <c r="K16" s="28">
        <f t="shared" si="2"/>
        <v>-8.25</v>
      </c>
      <c r="M16" s="155">
        <v>0</v>
      </c>
      <c r="N16" s="156">
        <v>0.12</v>
      </c>
      <c r="O16" s="184">
        <f t="shared" si="3"/>
        <v>-12.32</v>
      </c>
      <c r="P16" s="185">
        <f t="shared" si="4"/>
        <v>-8.25</v>
      </c>
      <c r="R16" s="36">
        <f>Nodos!L15*1.1</f>
        <v>36.300000000000004</v>
      </c>
      <c r="S16">
        <f>Nodos!L15*0.9</f>
        <v>29.7</v>
      </c>
      <c r="T16" s="33">
        <f>C16*Nodos!L15</f>
        <v>34.768800000000006</v>
      </c>
      <c r="W16" s="36">
        <v>8</v>
      </c>
      <c r="X16">
        <v>28</v>
      </c>
      <c r="Y16">
        <v>-0.54910099999999995</v>
      </c>
      <c r="Z16">
        <v>2.9037510000000002</v>
      </c>
      <c r="AA16">
        <v>-0.55454599999999998</v>
      </c>
      <c r="AB16">
        <v>2.8866290000000001</v>
      </c>
      <c r="AC16">
        <v>5.4450000000000002E-3</v>
      </c>
      <c r="AD16" s="33">
        <v>1.7121999999999998E-2</v>
      </c>
    </row>
    <row r="17" spans="2:30">
      <c r="B17" s="49">
        <v>13</v>
      </c>
      <c r="C17" s="92">
        <v>1.071</v>
      </c>
      <c r="D17" s="2" t="s">
        <v>528</v>
      </c>
      <c r="E17" s="1" t="str">
        <f t="shared" si="0"/>
        <v>-16,6751</v>
      </c>
      <c r="F17" s="95">
        <v>0</v>
      </c>
      <c r="G17" s="1">
        <v>13.337</v>
      </c>
      <c r="H17" s="95">
        <v>0</v>
      </c>
      <c r="I17" s="1">
        <v>0</v>
      </c>
      <c r="J17" s="87">
        <f t="shared" si="1"/>
        <v>0</v>
      </c>
      <c r="K17" s="28">
        <f t="shared" si="2"/>
        <v>13.337</v>
      </c>
      <c r="M17" s="155">
        <v>0</v>
      </c>
      <c r="N17" s="156">
        <v>0.12</v>
      </c>
      <c r="O17" s="184">
        <f t="shared" si="3"/>
        <v>0</v>
      </c>
      <c r="P17" s="185">
        <f t="shared" si="4"/>
        <v>13.337</v>
      </c>
      <c r="R17" s="36">
        <f>Nodos!L16*1.1</f>
        <v>12.100000000000001</v>
      </c>
      <c r="S17">
        <f>Nodos!L16*0.9</f>
        <v>9.9</v>
      </c>
      <c r="T17" s="33">
        <f>C17*Nodos!L16</f>
        <v>11.780999999999999</v>
      </c>
      <c r="W17" s="36">
        <v>6</v>
      </c>
      <c r="X17">
        <v>28</v>
      </c>
      <c r="Y17">
        <v>20.582353000000001</v>
      </c>
      <c r="Z17">
        <v>0.71296800000000005</v>
      </c>
      <c r="AA17">
        <v>20.511863000000002</v>
      </c>
      <c r="AB17">
        <v>0.46312199999999998</v>
      </c>
      <c r="AC17">
        <v>7.0490999999999998E-2</v>
      </c>
      <c r="AD17" s="33">
        <v>0.24984600000000001</v>
      </c>
    </row>
    <row r="18" spans="2:30">
      <c r="B18" s="49">
        <v>14</v>
      </c>
      <c r="C18" s="92">
        <v>1.0369999999999999</v>
      </c>
      <c r="D18" s="2" t="s">
        <v>529</v>
      </c>
      <c r="E18" s="1" t="str">
        <f t="shared" si="0"/>
        <v>-17,6644</v>
      </c>
      <c r="F18" s="95">
        <v>0</v>
      </c>
      <c r="G18" s="96">
        <v>0</v>
      </c>
      <c r="H18" s="87">
        <v>6.82</v>
      </c>
      <c r="I18" s="1">
        <v>1.76</v>
      </c>
      <c r="J18" s="87">
        <f t="shared" si="1"/>
        <v>-6.82</v>
      </c>
      <c r="K18" s="28">
        <f t="shared" si="2"/>
        <v>-1.76</v>
      </c>
      <c r="M18" s="155">
        <v>-0.01</v>
      </c>
      <c r="N18" s="156">
        <v>0.12</v>
      </c>
      <c r="O18" s="184">
        <f t="shared" si="3"/>
        <v>-6.82</v>
      </c>
      <c r="P18" s="185">
        <f t="shared" si="4"/>
        <v>-1.76</v>
      </c>
      <c r="R18" s="36">
        <f>Nodos!L17*1.1</f>
        <v>36.300000000000004</v>
      </c>
      <c r="S18">
        <f>Nodos!L17*0.9</f>
        <v>29.7</v>
      </c>
      <c r="T18" s="33">
        <f>C18*Nodos!L17</f>
        <v>34.220999999999997</v>
      </c>
      <c r="W18" s="36">
        <v>6</v>
      </c>
      <c r="X18">
        <v>10</v>
      </c>
      <c r="Y18">
        <v>17.382743000000001</v>
      </c>
      <c r="Z18">
        <v>-5.0428930000000003</v>
      </c>
      <c r="AA18">
        <v>17.382743000000001</v>
      </c>
      <c r="AB18">
        <v>-6.7785520000000004</v>
      </c>
      <c r="AC18">
        <v>0</v>
      </c>
      <c r="AD18" s="33">
        <v>1.7356579999999999</v>
      </c>
    </row>
    <row r="19" spans="2:30">
      <c r="B19" s="49">
        <v>15</v>
      </c>
      <c r="C19" s="94">
        <v>1.0318000000000001</v>
      </c>
      <c r="D19" s="2" t="s">
        <v>530</v>
      </c>
      <c r="E19" s="1" t="str">
        <f t="shared" si="0"/>
        <v>-17,7633</v>
      </c>
      <c r="F19" s="95">
        <v>0</v>
      </c>
      <c r="G19" s="96">
        <v>0</v>
      </c>
      <c r="H19" s="87">
        <v>9.02</v>
      </c>
      <c r="I19" s="1">
        <v>2.75</v>
      </c>
      <c r="J19" s="87">
        <f t="shared" si="1"/>
        <v>-9.02</v>
      </c>
      <c r="K19" s="28">
        <f t="shared" si="2"/>
        <v>-2.75</v>
      </c>
      <c r="M19" s="155">
        <v>-0.01</v>
      </c>
      <c r="N19" s="156">
        <v>0.12</v>
      </c>
      <c r="O19" s="184">
        <f t="shared" si="3"/>
        <v>-9.02</v>
      </c>
      <c r="P19" s="185">
        <f t="shared" si="4"/>
        <v>-2.75</v>
      </c>
      <c r="R19" s="36">
        <f>Nodos!L18*1.1</f>
        <v>36.300000000000004</v>
      </c>
      <c r="S19">
        <f>Nodos!L18*0.9</f>
        <v>29.7</v>
      </c>
      <c r="T19" s="33">
        <f>C19*Nodos!L18</f>
        <v>34.049399999999999</v>
      </c>
      <c r="W19" s="36">
        <v>9</v>
      </c>
      <c r="X19">
        <v>11</v>
      </c>
      <c r="Y19">
        <v>0</v>
      </c>
      <c r="Z19">
        <v>-17.325692</v>
      </c>
      <c r="AA19">
        <v>0</v>
      </c>
      <c r="AB19">
        <v>-17.894615000000002</v>
      </c>
      <c r="AC19">
        <v>0</v>
      </c>
      <c r="AD19" s="33">
        <v>0.56892299999999996</v>
      </c>
    </row>
    <row r="20" spans="2:30">
      <c r="B20" s="49">
        <v>16</v>
      </c>
      <c r="C20" s="94">
        <v>1.0390999999999999</v>
      </c>
      <c r="D20" s="2" t="s">
        <v>531</v>
      </c>
      <c r="E20" s="1" t="str">
        <f t="shared" si="0"/>
        <v>-17,3169</v>
      </c>
      <c r="F20" s="95">
        <v>0</v>
      </c>
      <c r="G20" s="96">
        <v>0</v>
      </c>
      <c r="H20" s="87">
        <v>3.85</v>
      </c>
      <c r="I20" s="1">
        <v>1.98</v>
      </c>
      <c r="J20" s="87">
        <f t="shared" si="1"/>
        <v>-3.85</v>
      </c>
      <c r="K20" s="28">
        <f t="shared" si="2"/>
        <v>-1.98</v>
      </c>
      <c r="M20" s="155">
        <v>-0.01</v>
      </c>
      <c r="N20" s="156">
        <v>0.12</v>
      </c>
      <c r="O20" s="184">
        <f t="shared" si="3"/>
        <v>-3.85</v>
      </c>
      <c r="P20" s="185">
        <f t="shared" si="4"/>
        <v>-1.98</v>
      </c>
      <c r="R20" s="36">
        <f>Nodos!L19*1.1</f>
        <v>36.300000000000004</v>
      </c>
      <c r="S20">
        <f>Nodos!L19*0.9</f>
        <v>29.7</v>
      </c>
      <c r="T20" s="33">
        <f>C20*Nodos!L19</f>
        <v>34.290299999999995</v>
      </c>
      <c r="W20" s="36">
        <v>9</v>
      </c>
      <c r="X20">
        <v>10</v>
      </c>
      <c r="Y20">
        <v>30.460546999999998</v>
      </c>
      <c r="Z20">
        <v>8.1828730000000007</v>
      </c>
      <c r="AA20">
        <v>30.460546999999998</v>
      </c>
      <c r="AB20">
        <v>7.185772</v>
      </c>
      <c r="AC20">
        <v>0</v>
      </c>
      <c r="AD20" s="33">
        <v>0.99710100000000002</v>
      </c>
    </row>
    <row r="21" spans="2:30">
      <c r="B21" s="49">
        <v>17</v>
      </c>
      <c r="C21" s="94">
        <v>1.0339</v>
      </c>
      <c r="D21" s="2" t="s">
        <v>532</v>
      </c>
      <c r="E21" s="1" t="str">
        <f t="shared" si="0"/>
        <v>-17,6880</v>
      </c>
      <c r="F21" s="95">
        <v>0</v>
      </c>
      <c r="G21" s="96">
        <v>0</v>
      </c>
      <c r="H21" s="87">
        <v>9.9</v>
      </c>
      <c r="I21" s="1">
        <v>6.38</v>
      </c>
      <c r="J21" s="87">
        <f t="shared" si="1"/>
        <v>-9.9</v>
      </c>
      <c r="K21" s="28">
        <f t="shared" si="2"/>
        <v>-6.38</v>
      </c>
      <c r="M21" s="155">
        <v>-0.01</v>
      </c>
      <c r="N21" s="156">
        <v>0.12</v>
      </c>
      <c r="O21" s="184">
        <f t="shared" si="3"/>
        <v>-9.9</v>
      </c>
      <c r="P21" s="185">
        <f t="shared" si="4"/>
        <v>-6.38</v>
      </c>
      <c r="R21" s="36">
        <f>Nodos!L20*1.1</f>
        <v>36.300000000000004</v>
      </c>
      <c r="S21">
        <f>Nodos!L20*0.9</f>
        <v>29.7</v>
      </c>
      <c r="T21" s="33">
        <f>C21*Nodos!L20</f>
        <v>34.118700000000004</v>
      </c>
      <c r="W21" s="36">
        <v>4</v>
      </c>
      <c r="X21">
        <v>12</v>
      </c>
      <c r="Y21">
        <v>48.752889000000003</v>
      </c>
      <c r="Z21">
        <v>-16.065480000000001</v>
      </c>
      <c r="AA21">
        <v>48.752889000000003</v>
      </c>
      <c r="AB21">
        <v>-22.236923000000001</v>
      </c>
      <c r="AC21">
        <v>0</v>
      </c>
      <c r="AD21" s="33">
        <v>6.171443</v>
      </c>
    </row>
    <row r="22" spans="2:30">
      <c r="B22" s="49">
        <v>18</v>
      </c>
      <c r="C22" s="92">
        <v>1.0209999999999999</v>
      </c>
      <c r="D22" s="2" t="s">
        <v>533</v>
      </c>
      <c r="E22" s="1" t="str">
        <f t="shared" si="0"/>
        <v>-18,4464</v>
      </c>
      <c r="F22" s="95">
        <v>0</v>
      </c>
      <c r="G22" s="96">
        <v>0</v>
      </c>
      <c r="H22" s="87">
        <v>3.52</v>
      </c>
      <c r="I22" s="1">
        <v>0.99</v>
      </c>
      <c r="J22" s="87">
        <f t="shared" si="1"/>
        <v>-3.52</v>
      </c>
      <c r="K22" s="28">
        <f t="shared" si="2"/>
        <v>-0.99</v>
      </c>
      <c r="M22" s="155">
        <v>-0.01</v>
      </c>
      <c r="N22" s="156">
        <v>0.12</v>
      </c>
      <c r="O22" s="184">
        <f t="shared" si="3"/>
        <v>-3.52</v>
      </c>
      <c r="P22" s="185">
        <f t="shared" si="4"/>
        <v>-0.99</v>
      </c>
      <c r="R22" s="36">
        <f>Nodos!L21*1.1</f>
        <v>36.300000000000004</v>
      </c>
      <c r="S22">
        <f>Nodos!L21*0.9</f>
        <v>29.7</v>
      </c>
      <c r="T22" s="33">
        <f>C22*Nodos!L21</f>
        <v>33.692999999999998</v>
      </c>
      <c r="W22" s="36">
        <v>12</v>
      </c>
      <c r="X22">
        <v>13</v>
      </c>
      <c r="Y22">
        <v>0</v>
      </c>
      <c r="Z22">
        <v>-13.094742999999999</v>
      </c>
      <c r="AA22">
        <v>0</v>
      </c>
      <c r="AB22">
        <v>-13.311</v>
      </c>
      <c r="AC22">
        <v>0</v>
      </c>
      <c r="AD22" s="33">
        <v>0.216257</v>
      </c>
    </row>
    <row r="23" spans="2:30">
      <c r="B23" s="49">
        <v>19</v>
      </c>
      <c r="C23" s="94">
        <v>1.0182</v>
      </c>
      <c r="D23" s="2" t="s">
        <v>534</v>
      </c>
      <c r="E23" s="1" t="str">
        <f t="shared" si="0"/>
        <v>-18,6395</v>
      </c>
      <c r="F23" s="95">
        <v>0</v>
      </c>
      <c r="G23" s="96">
        <v>0</v>
      </c>
      <c r="H23" s="87">
        <v>10.45</v>
      </c>
      <c r="I23" s="1">
        <v>3.74</v>
      </c>
      <c r="J23" s="87">
        <f t="shared" si="1"/>
        <v>-10.45</v>
      </c>
      <c r="K23" s="28">
        <f t="shared" si="2"/>
        <v>-3.74</v>
      </c>
      <c r="M23" s="155">
        <v>-0.01</v>
      </c>
      <c r="N23" s="156">
        <v>0.12</v>
      </c>
      <c r="O23" s="184">
        <f t="shared" si="3"/>
        <v>-10.45</v>
      </c>
      <c r="P23" s="185">
        <f t="shared" si="4"/>
        <v>-3.74</v>
      </c>
      <c r="R23" s="36">
        <f>Nodos!L22*1.1</f>
        <v>36.300000000000004</v>
      </c>
      <c r="S23">
        <f>Nodos!L22*0.9</f>
        <v>29.7</v>
      </c>
      <c r="T23" s="33">
        <f>C23*Nodos!L22</f>
        <v>33.6006</v>
      </c>
      <c r="W23" s="36">
        <v>12</v>
      </c>
      <c r="X23">
        <v>14</v>
      </c>
      <c r="Y23">
        <v>8.6812039999999993</v>
      </c>
      <c r="Z23">
        <v>2.722181</v>
      </c>
      <c r="AA23">
        <v>8.5894139999999997</v>
      </c>
      <c r="AB23">
        <v>2.5313669999999999</v>
      </c>
      <c r="AC23">
        <v>9.1790999999999998E-2</v>
      </c>
      <c r="AD23" s="33">
        <v>0.19081400000000001</v>
      </c>
    </row>
    <row r="24" spans="2:30">
      <c r="B24" s="49">
        <v>20</v>
      </c>
      <c r="C24" s="94">
        <v>1.0226</v>
      </c>
      <c r="D24" s="2" t="s">
        <v>535</v>
      </c>
      <c r="E24" s="1" t="str">
        <f t="shared" si="0"/>
        <v>-18,4198</v>
      </c>
      <c r="F24" s="95">
        <v>0</v>
      </c>
      <c r="G24" s="96">
        <v>0</v>
      </c>
      <c r="H24" s="87">
        <v>2.42</v>
      </c>
      <c r="I24" s="1">
        <v>0.77</v>
      </c>
      <c r="J24" s="87">
        <f t="shared" si="1"/>
        <v>-2.42</v>
      </c>
      <c r="K24" s="28">
        <f t="shared" si="2"/>
        <v>-0.77</v>
      </c>
      <c r="M24" s="155">
        <v>-0.01</v>
      </c>
      <c r="N24" s="156">
        <v>0.12</v>
      </c>
      <c r="O24" s="184">
        <f t="shared" si="3"/>
        <v>-2.42</v>
      </c>
      <c r="P24" s="185">
        <f t="shared" si="4"/>
        <v>-0.77</v>
      </c>
      <c r="R24" s="36">
        <f>Nodos!L23*1.1</f>
        <v>36.300000000000004</v>
      </c>
      <c r="S24">
        <f>Nodos!L23*0.9</f>
        <v>29.7</v>
      </c>
      <c r="T24" s="33">
        <f>C24*Nodos!L23</f>
        <v>33.745799999999996</v>
      </c>
      <c r="W24" s="36">
        <v>12</v>
      </c>
      <c r="X24">
        <v>15</v>
      </c>
      <c r="Y24">
        <v>19.758645000000001</v>
      </c>
      <c r="Z24">
        <v>7.7333759999999998</v>
      </c>
      <c r="AA24">
        <v>19.490159999999999</v>
      </c>
      <c r="AB24">
        <v>7.2045159999999999</v>
      </c>
      <c r="AC24">
        <v>0.26848499999999997</v>
      </c>
      <c r="AD24" s="33">
        <v>0.52886</v>
      </c>
    </row>
    <row r="25" spans="2:30">
      <c r="B25" s="49">
        <v>21</v>
      </c>
      <c r="C25" s="94">
        <v>1.0258</v>
      </c>
      <c r="D25" s="2" t="s">
        <v>536</v>
      </c>
      <c r="E25" s="1" t="str">
        <f t="shared" si="0"/>
        <v>-17,9979</v>
      </c>
      <c r="F25" s="95">
        <v>0</v>
      </c>
      <c r="G25" s="96">
        <v>0</v>
      </c>
      <c r="H25" s="87">
        <v>19.25</v>
      </c>
      <c r="I25" s="1">
        <v>12.32</v>
      </c>
      <c r="J25" s="87">
        <f t="shared" si="1"/>
        <v>-19.25</v>
      </c>
      <c r="K25" s="28">
        <f t="shared" si="2"/>
        <v>-12.32</v>
      </c>
      <c r="M25" s="155">
        <v>-0.01</v>
      </c>
      <c r="N25" s="156">
        <v>0.12</v>
      </c>
      <c r="O25" s="184">
        <f t="shared" si="3"/>
        <v>-19.25</v>
      </c>
      <c r="P25" s="185">
        <f t="shared" si="4"/>
        <v>-12.32</v>
      </c>
      <c r="R25" s="36">
        <f>Nodos!L24*1.1</f>
        <v>36.300000000000004</v>
      </c>
      <c r="S25">
        <f>Nodos!L24*0.9</f>
        <v>29.7</v>
      </c>
      <c r="T25" s="33">
        <f>C25*Nodos!L24</f>
        <v>33.851399999999998</v>
      </c>
      <c r="W25" s="36">
        <v>12</v>
      </c>
      <c r="X25">
        <v>16</v>
      </c>
      <c r="Y25">
        <v>8.0287400000000009</v>
      </c>
      <c r="Z25">
        <v>3.9047429999999999</v>
      </c>
      <c r="AA25">
        <v>7.9608850000000002</v>
      </c>
      <c r="AB25">
        <v>3.7620689999999999</v>
      </c>
      <c r="AC25">
        <v>6.7854999999999999E-2</v>
      </c>
      <c r="AD25" s="33">
        <v>0.142675</v>
      </c>
    </row>
    <row r="26" spans="2:30">
      <c r="B26" s="49">
        <v>22</v>
      </c>
      <c r="C26" s="94">
        <v>1.0263</v>
      </c>
      <c r="D26" s="2" t="s">
        <v>537</v>
      </c>
      <c r="E26" s="1" t="str">
        <f t="shared" si="0"/>
        <v>-17,9814</v>
      </c>
      <c r="F26" s="95">
        <v>0</v>
      </c>
      <c r="G26" s="96">
        <v>0</v>
      </c>
      <c r="H26" s="95">
        <v>0</v>
      </c>
      <c r="I26" s="1">
        <v>0</v>
      </c>
      <c r="J26" s="87">
        <f t="shared" si="1"/>
        <v>0</v>
      </c>
      <c r="K26" s="28">
        <f t="shared" si="2"/>
        <v>0</v>
      </c>
      <c r="M26" s="155">
        <v>-0.01</v>
      </c>
      <c r="N26" s="156">
        <v>0.12</v>
      </c>
      <c r="O26" s="184">
        <f t="shared" si="3"/>
        <v>0</v>
      </c>
      <c r="P26" s="185">
        <f t="shared" si="4"/>
        <v>0</v>
      </c>
      <c r="R26" s="36">
        <f>Nodos!L25*1.1</f>
        <v>36.300000000000004</v>
      </c>
      <c r="S26">
        <f>Nodos!L25*0.9</f>
        <v>29.7</v>
      </c>
      <c r="T26" s="33">
        <f>C26*Nodos!L25</f>
        <v>33.867899999999999</v>
      </c>
      <c r="W26" s="36">
        <v>14</v>
      </c>
      <c r="X26">
        <v>15</v>
      </c>
      <c r="Y26">
        <v>1.759336</v>
      </c>
      <c r="Z26">
        <v>0.75406200000000001</v>
      </c>
      <c r="AA26">
        <v>1.7518069999999999</v>
      </c>
      <c r="AB26">
        <v>0.74725799999999998</v>
      </c>
      <c r="AC26">
        <v>7.5300000000000002E-3</v>
      </c>
      <c r="AD26" s="33">
        <v>6.8040000000000002E-3</v>
      </c>
    </row>
    <row r="27" spans="2:30">
      <c r="B27" s="49">
        <v>23</v>
      </c>
      <c r="C27" s="94">
        <v>1.0199</v>
      </c>
      <c r="D27" s="2" t="s">
        <v>538</v>
      </c>
      <c r="E27" s="1" t="str">
        <f t="shared" si="0"/>
        <v>-18,1929</v>
      </c>
      <c r="F27" s="95">
        <v>0</v>
      </c>
      <c r="G27" s="96">
        <v>0</v>
      </c>
      <c r="H27" s="87">
        <v>3.52</v>
      </c>
      <c r="I27" s="1">
        <v>1.76</v>
      </c>
      <c r="J27" s="87">
        <f t="shared" si="1"/>
        <v>-3.52</v>
      </c>
      <c r="K27" s="28">
        <f t="shared" si="2"/>
        <v>-1.76</v>
      </c>
      <c r="M27" s="155">
        <v>-0.01</v>
      </c>
      <c r="N27" s="156">
        <v>0.12</v>
      </c>
      <c r="O27" s="184">
        <f t="shared" si="3"/>
        <v>-3.52</v>
      </c>
      <c r="P27" s="185">
        <f t="shared" si="4"/>
        <v>-1.76</v>
      </c>
      <c r="R27" s="36">
        <f>Nodos!L26*1.1</f>
        <v>36.300000000000004</v>
      </c>
      <c r="S27">
        <f>Nodos!L26*0.9</f>
        <v>29.7</v>
      </c>
      <c r="T27" s="33">
        <f>C27*Nodos!L26</f>
        <v>33.656700000000001</v>
      </c>
      <c r="W27" s="36">
        <v>16</v>
      </c>
      <c r="X27">
        <v>17</v>
      </c>
      <c r="Y27">
        <v>4.084047</v>
      </c>
      <c r="Z27">
        <v>1.708691</v>
      </c>
      <c r="AA27">
        <v>4.074535</v>
      </c>
      <c r="AB27">
        <v>1.6737850000000001</v>
      </c>
      <c r="AC27">
        <v>9.5119999999999996E-3</v>
      </c>
      <c r="AD27" s="33">
        <v>3.4906E-2</v>
      </c>
    </row>
    <row r="28" spans="2:30">
      <c r="B28" s="49">
        <v>24</v>
      </c>
      <c r="C28" s="94">
        <v>1.0134000000000001</v>
      </c>
      <c r="D28" s="2" t="s">
        <v>539</v>
      </c>
      <c r="E28" s="1" t="str">
        <f t="shared" si="0"/>
        <v>-18,3824</v>
      </c>
      <c r="F28" s="95">
        <v>0</v>
      </c>
      <c r="G28" s="96">
        <v>0</v>
      </c>
      <c r="H28" s="87">
        <v>9.57</v>
      </c>
      <c r="I28" s="1">
        <v>7.37</v>
      </c>
      <c r="J28" s="87">
        <f t="shared" si="1"/>
        <v>-9.57</v>
      </c>
      <c r="K28" s="28">
        <f t="shared" si="2"/>
        <v>-7.37</v>
      </c>
      <c r="M28" s="155">
        <v>-0.01</v>
      </c>
      <c r="N28" s="156">
        <v>0.12</v>
      </c>
      <c r="O28" s="184">
        <f t="shared" si="3"/>
        <v>-9.57</v>
      </c>
      <c r="P28" s="185">
        <f t="shared" si="4"/>
        <v>-7.37</v>
      </c>
      <c r="R28" s="36">
        <f>Nodos!L27*1.1</f>
        <v>36.300000000000004</v>
      </c>
      <c r="S28">
        <f>Nodos!L27*0.9</f>
        <v>29.7</v>
      </c>
      <c r="T28" s="33">
        <f>C28*Nodos!L27</f>
        <v>33.4422</v>
      </c>
      <c r="W28" s="36">
        <v>15</v>
      </c>
      <c r="X28">
        <v>18</v>
      </c>
      <c r="Y28">
        <v>6.6626300000000001</v>
      </c>
      <c r="Z28">
        <v>1.862384</v>
      </c>
      <c r="AA28">
        <v>6.6143929999999997</v>
      </c>
      <c r="AB28">
        <v>1.7641579999999999</v>
      </c>
      <c r="AC28">
        <v>4.8236000000000001E-2</v>
      </c>
      <c r="AD28" s="33">
        <v>9.8225999999999994E-2</v>
      </c>
    </row>
    <row r="29" spans="2:30">
      <c r="B29" s="49">
        <v>25</v>
      </c>
      <c r="C29" s="94">
        <v>1.0099</v>
      </c>
      <c r="D29" s="2" t="s">
        <v>540</v>
      </c>
      <c r="E29" s="1" t="str">
        <f t="shared" si="0"/>
        <v>-17,9334</v>
      </c>
      <c r="F29" s="95">
        <v>0</v>
      </c>
      <c r="G29" s="96">
        <v>0</v>
      </c>
      <c r="H29" s="95">
        <v>0</v>
      </c>
      <c r="I29" s="1">
        <v>0</v>
      </c>
      <c r="J29" s="87">
        <f t="shared" si="1"/>
        <v>0</v>
      </c>
      <c r="K29" s="28">
        <f t="shared" si="2"/>
        <v>0</v>
      </c>
      <c r="M29" s="155">
        <v>-0.01</v>
      </c>
      <c r="N29" s="156">
        <v>0.12</v>
      </c>
      <c r="O29" s="184">
        <f t="shared" si="3"/>
        <v>0</v>
      </c>
      <c r="P29" s="185">
        <f t="shared" si="4"/>
        <v>0</v>
      </c>
      <c r="R29" s="36">
        <f>Nodos!L28*1.1</f>
        <v>36.300000000000004</v>
      </c>
      <c r="S29">
        <f>Nodos!L28*0.9</f>
        <v>29.7</v>
      </c>
      <c r="T29" s="33">
        <f>C29*Nodos!L28</f>
        <v>33.326700000000002</v>
      </c>
      <c r="W29" s="36">
        <v>18</v>
      </c>
      <c r="X29">
        <v>19</v>
      </c>
      <c r="Y29">
        <v>3.0599129999999999</v>
      </c>
      <c r="Z29">
        <v>0.70388499999999998</v>
      </c>
      <c r="AA29">
        <v>3.0538699999999999</v>
      </c>
      <c r="AB29">
        <v>0.691666</v>
      </c>
      <c r="AC29">
        <v>6.0429999999999998E-3</v>
      </c>
      <c r="AD29" s="33">
        <v>1.2219000000000001E-2</v>
      </c>
    </row>
    <row r="30" spans="2:30">
      <c r="B30" s="49">
        <v>26</v>
      </c>
      <c r="C30" s="1">
        <v>0.99019999999999997</v>
      </c>
      <c r="D30" s="2" t="s">
        <v>541</v>
      </c>
      <c r="E30" s="1" t="str">
        <f t="shared" si="0"/>
        <v>-18,4029</v>
      </c>
      <c r="F30" s="95">
        <v>0</v>
      </c>
      <c r="G30" s="96">
        <v>0</v>
      </c>
      <c r="H30" s="87">
        <v>3.85</v>
      </c>
      <c r="I30" s="1">
        <v>2.5299999999999998</v>
      </c>
      <c r="J30" s="87">
        <f t="shared" si="1"/>
        <v>-3.85</v>
      </c>
      <c r="K30" s="28">
        <f t="shared" si="2"/>
        <v>-2.5299999999999998</v>
      </c>
      <c r="M30" s="155">
        <v>-0.01</v>
      </c>
      <c r="N30" s="156">
        <v>0.12</v>
      </c>
      <c r="O30" s="184">
        <f t="shared" si="3"/>
        <v>-3.85</v>
      </c>
      <c r="P30" s="185">
        <f t="shared" si="4"/>
        <v>-2.5299999999999998</v>
      </c>
      <c r="R30" s="36">
        <f>Nodos!L29*1.1</f>
        <v>36.300000000000004</v>
      </c>
      <c r="S30">
        <f>Nodos!L29*0.9</f>
        <v>29.7</v>
      </c>
      <c r="T30" s="33">
        <f>C30*Nodos!L29</f>
        <v>32.676600000000001</v>
      </c>
      <c r="W30" s="36">
        <v>19</v>
      </c>
      <c r="X30">
        <v>20</v>
      </c>
      <c r="Y30">
        <v>-7.3279009999999998</v>
      </c>
      <c r="Z30">
        <v>-2.9131459999999998</v>
      </c>
      <c r="AA30">
        <v>-7.3482940000000001</v>
      </c>
      <c r="AB30">
        <v>-2.9539330000000001</v>
      </c>
      <c r="AC30">
        <v>2.0393999999999999E-2</v>
      </c>
      <c r="AD30" s="33">
        <v>4.0786999999999997E-2</v>
      </c>
    </row>
    <row r="31" spans="2:30">
      <c r="B31" s="49">
        <v>27</v>
      </c>
      <c r="C31" s="94">
        <v>1.0172000000000001</v>
      </c>
      <c r="D31" s="2" t="s">
        <v>542</v>
      </c>
      <c r="E31" s="1" t="str">
        <f t="shared" si="0"/>
        <v>-17,3651</v>
      </c>
      <c r="F31" s="95">
        <v>0</v>
      </c>
      <c r="G31" s="96">
        <v>0</v>
      </c>
      <c r="H31" s="95">
        <v>0</v>
      </c>
      <c r="I31" s="1">
        <v>0</v>
      </c>
      <c r="J31" s="87">
        <f t="shared" si="1"/>
        <v>0</v>
      </c>
      <c r="K31" s="28">
        <f t="shared" si="2"/>
        <v>0</v>
      </c>
      <c r="M31" s="155">
        <v>-0.01</v>
      </c>
      <c r="N31" s="156">
        <v>0.12</v>
      </c>
      <c r="O31" s="184">
        <f t="shared" si="3"/>
        <v>0</v>
      </c>
      <c r="P31" s="185">
        <f t="shared" si="4"/>
        <v>0</v>
      </c>
      <c r="R31" s="36">
        <f>Nodos!L30*1.1</f>
        <v>36.300000000000004</v>
      </c>
      <c r="S31">
        <f>Nodos!L30*0.9</f>
        <v>29.7</v>
      </c>
      <c r="T31" s="33">
        <f>C31*Nodos!L30</f>
        <v>33.567600000000006</v>
      </c>
      <c r="W31" s="36">
        <v>10</v>
      </c>
      <c r="X31">
        <v>20</v>
      </c>
      <c r="Y31">
        <v>9.9107090000000007</v>
      </c>
      <c r="Z31">
        <v>4.0316320000000001</v>
      </c>
      <c r="AA31">
        <v>9.8115480000000002</v>
      </c>
      <c r="AB31">
        <v>3.8102140000000002</v>
      </c>
      <c r="AC31">
        <v>9.9160999999999999E-2</v>
      </c>
      <c r="AD31" s="33">
        <v>0.221418</v>
      </c>
    </row>
    <row r="32" spans="2:30">
      <c r="B32" s="49">
        <v>28</v>
      </c>
      <c r="C32" s="94">
        <v>1.0045999999999999</v>
      </c>
      <c r="D32" s="2" t="s">
        <v>543</v>
      </c>
      <c r="E32" s="1" t="str">
        <f t="shared" si="0"/>
        <v>-13,0714</v>
      </c>
      <c r="F32" s="95">
        <v>0</v>
      </c>
      <c r="G32" s="96">
        <v>0</v>
      </c>
      <c r="H32" s="95">
        <v>0</v>
      </c>
      <c r="I32" s="1">
        <v>0</v>
      </c>
      <c r="J32" s="87">
        <f t="shared" si="1"/>
        <v>0</v>
      </c>
      <c r="K32" s="28">
        <f t="shared" si="2"/>
        <v>0</v>
      </c>
      <c r="M32" s="155">
        <v>0</v>
      </c>
      <c r="N32" s="156">
        <v>0.12</v>
      </c>
      <c r="O32" s="184">
        <f t="shared" si="3"/>
        <v>0</v>
      </c>
      <c r="P32" s="185">
        <f t="shared" si="4"/>
        <v>0</v>
      </c>
      <c r="R32" s="36">
        <f>Nodos!L31*1.1</f>
        <v>145.20000000000002</v>
      </c>
      <c r="S32">
        <f>Nodos!L31*0.9</f>
        <v>118.8</v>
      </c>
      <c r="T32" s="33">
        <f>C32*Nodos!L31</f>
        <v>132.60719999999998</v>
      </c>
      <c r="W32" s="36">
        <v>10</v>
      </c>
      <c r="X32">
        <v>17</v>
      </c>
      <c r="Y32">
        <v>5.8137460000000001</v>
      </c>
      <c r="Z32">
        <v>4.6661849999999996</v>
      </c>
      <c r="AA32">
        <v>5.7970829999999998</v>
      </c>
      <c r="AB32">
        <v>4.6227270000000003</v>
      </c>
      <c r="AC32">
        <v>1.6663000000000001E-2</v>
      </c>
      <c r="AD32" s="33">
        <v>4.3457999999999997E-2</v>
      </c>
    </row>
    <row r="33" spans="2:30">
      <c r="B33" s="49">
        <v>29</v>
      </c>
      <c r="C33" s="1">
        <v>0.99509999999999998</v>
      </c>
      <c r="D33" s="2" t="s">
        <v>544</v>
      </c>
      <c r="E33" s="1" t="str">
        <f t="shared" si="0"/>
        <v>-18,7374</v>
      </c>
      <c r="F33" s="95">
        <v>0</v>
      </c>
      <c r="G33" s="96">
        <v>0</v>
      </c>
      <c r="H33" s="87">
        <v>2.64</v>
      </c>
      <c r="I33" s="1">
        <v>0.99</v>
      </c>
      <c r="J33" s="87">
        <f t="shared" si="1"/>
        <v>-2.64</v>
      </c>
      <c r="K33" s="28">
        <f t="shared" si="2"/>
        <v>-0.99</v>
      </c>
      <c r="M33" s="155">
        <v>-0.01</v>
      </c>
      <c r="N33" s="156">
        <v>0.12</v>
      </c>
      <c r="O33" s="184">
        <f t="shared" si="3"/>
        <v>-2.64</v>
      </c>
      <c r="P33" s="185">
        <f t="shared" si="4"/>
        <v>-0.99</v>
      </c>
      <c r="R33" s="36">
        <f>Nodos!L32*1.1</f>
        <v>36.300000000000004</v>
      </c>
      <c r="S33">
        <f>Nodos!L32*0.9</f>
        <v>29.7</v>
      </c>
      <c r="T33" s="33">
        <f>C33*Nodos!L32</f>
        <v>32.838299999999997</v>
      </c>
      <c r="W33" s="36">
        <v>10</v>
      </c>
      <c r="X33">
        <v>21</v>
      </c>
      <c r="Y33">
        <v>17.323640999999999</v>
      </c>
      <c r="Z33">
        <v>11.016966999999999</v>
      </c>
      <c r="AA33">
        <v>17.187901</v>
      </c>
      <c r="AB33">
        <v>10.724812999999999</v>
      </c>
      <c r="AC33">
        <v>0.13574</v>
      </c>
      <c r="AD33" s="33">
        <v>0.29215400000000002</v>
      </c>
    </row>
    <row r="34" spans="2:30">
      <c r="B34" s="50">
        <v>30</v>
      </c>
      <c r="C34" s="31">
        <v>0.98229999999999995</v>
      </c>
      <c r="D34" s="51" t="s">
        <v>545</v>
      </c>
      <c r="E34" s="31" t="str">
        <f t="shared" si="0"/>
        <v>-19,7261</v>
      </c>
      <c r="F34" s="52">
        <v>0</v>
      </c>
      <c r="G34" s="53">
        <v>0</v>
      </c>
      <c r="H34" s="54">
        <v>11.66</v>
      </c>
      <c r="I34" s="31">
        <v>2.09</v>
      </c>
      <c r="J34" s="54">
        <f t="shared" si="1"/>
        <v>-11.66</v>
      </c>
      <c r="K34" s="32">
        <f t="shared" si="2"/>
        <v>-2.09</v>
      </c>
      <c r="M34" s="157">
        <v>-0.01</v>
      </c>
      <c r="N34" s="158">
        <v>0.12</v>
      </c>
      <c r="O34" s="184">
        <f t="shared" si="3"/>
        <v>-11.66</v>
      </c>
      <c r="P34" s="185">
        <f t="shared" si="4"/>
        <v>-2.09</v>
      </c>
      <c r="R34" s="37">
        <f>Nodos!L33*1.1</f>
        <v>36.300000000000004</v>
      </c>
      <c r="S34" s="19">
        <f>Nodos!L33*0.9</f>
        <v>29.7</v>
      </c>
      <c r="T34" s="20">
        <f>C34*Nodos!L33</f>
        <v>32.415900000000001</v>
      </c>
      <c r="W34" s="36">
        <v>10</v>
      </c>
      <c r="X34">
        <v>22</v>
      </c>
      <c r="Y34">
        <v>8.3772649999999995</v>
      </c>
      <c r="Z34">
        <v>5.1152389999999999</v>
      </c>
      <c r="AA34">
        <v>8.3124450000000003</v>
      </c>
      <c r="AB34">
        <v>4.9815860000000001</v>
      </c>
      <c r="AC34">
        <v>6.4820000000000003E-2</v>
      </c>
      <c r="AD34" s="33">
        <v>0.13365299999999999</v>
      </c>
    </row>
    <row r="35" spans="2:30">
      <c r="W35" s="36">
        <v>21</v>
      </c>
      <c r="X35">
        <v>22</v>
      </c>
      <c r="Y35">
        <v>-1.8949769999999999</v>
      </c>
      <c r="Z35">
        <v>-1.2416910000000001</v>
      </c>
      <c r="AA35">
        <v>-1.895543</v>
      </c>
      <c r="AB35">
        <v>-1.242842</v>
      </c>
      <c r="AC35">
        <v>5.6599999999999999E-4</v>
      </c>
      <c r="AD35" s="33">
        <v>1.1509999999999999E-3</v>
      </c>
    </row>
    <row r="36" spans="2:30">
      <c r="W36" s="36">
        <v>15</v>
      </c>
      <c r="X36">
        <v>23</v>
      </c>
      <c r="Y36">
        <v>5.5598580000000002</v>
      </c>
      <c r="Z36">
        <v>3.340665</v>
      </c>
      <c r="AA36">
        <v>5.5203389999999999</v>
      </c>
      <c r="AB36">
        <v>3.260837</v>
      </c>
      <c r="AC36">
        <v>3.9518999999999999E-2</v>
      </c>
      <c r="AD36" s="33">
        <v>7.9827999999999996E-2</v>
      </c>
    </row>
    <row r="37" spans="2:30">
      <c r="W37" s="36">
        <v>22</v>
      </c>
      <c r="X37">
        <v>24</v>
      </c>
      <c r="Y37">
        <v>6.24838</v>
      </c>
      <c r="Z37">
        <v>3.3961480000000002</v>
      </c>
      <c r="AA37">
        <v>6.1931599999999998</v>
      </c>
      <c r="AB37">
        <v>3.3101980000000002</v>
      </c>
      <c r="AC37">
        <v>5.5219999999999998E-2</v>
      </c>
      <c r="AD37" s="33">
        <v>8.5951E-2</v>
      </c>
    </row>
    <row r="38" spans="2:30">
      <c r="W38" s="36">
        <v>23</v>
      </c>
      <c r="X38">
        <v>24</v>
      </c>
      <c r="Y38">
        <v>1.9914879999999999</v>
      </c>
      <c r="Z38">
        <v>1.483792</v>
      </c>
      <c r="AA38">
        <v>1.9836609999999999</v>
      </c>
      <c r="AB38">
        <v>1.4677830000000001</v>
      </c>
      <c r="AC38">
        <v>7.8270000000000006E-3</v>
      </c>
      <c r="AD38" s="33">
        <v>1.6008999999999999E-2</v>
      </c>
    </row>
    <row r="39" spans="2:30">
      <c r="W39" s="36">
        <v>24</v>
      </c>
      <c r="X39">
        <v>25</v>
      </c>
      <c r="Y39">
        <v>-1.3659680000000001</v>
      </c>
      <c r="Z39">
        <v>1.86913</v>
      </c>
      <c r="AA39">
        <v>-1.3758060000000001</v>
      </c>
      <c r="AB39">
        <v>1.85195</v>
      </c>
      <c r="AC39">
        <v>9.8370000000000003E-3</v>
      </c>
      <c r="AD39" s="33">
        <v>1.7180000000000001E-2</v>
      </c>
    </row>
    <row r="40" spans="2:30">
      <c r="W40" s="36">
        <v>25</v>
      </c>
      <c r="X40">
        <v>26</v>
      </c>
      <c r="Y40">
        <v>3.913389</v>
      </c>
      <c r="Z40">
        <v>2.6244589999999999</v>
      </c>
      <c r="AA40">
        <v>3.8580079999999999</v>
      </c>
      <c r="AB40">
        <v>2.5417360000000002</v>
      </c>
      <c r="AC40">
        <v>5.5381E-2</v>
      </c>
      <c r="AD40" s="33">
        <v>8.2723000000000005E-2</v>
      </c>
    </row>
    <row r="41" spans="2:30">
      <c r="W41" s="36">
        <v>25</v>
      </c>
      <c r="X41">
        <v>27</v>
      </c>
      <c r="Y41">
        <v>-5.2731539999999999</v>
      </c>
      <c r="Z41">
        <v>-0.74661299999999997</v>
      </c>
      <c r="AA41">
        <v>-5.3035509999999997</v>
      </c>
      <c r="AB41">
        <v>-0.80465299999999995</v>
      </c>
      <c r="AC41">
        <v>3.0397E-2</v>
      </c>
      <c r="AD41" s="33">
        <v>5.8040000000000001E-2</v>
      </c>
    </row>
    <row r="42" spans="2:30">
      <c r="W42" s="36">
        <v>28</v>
      </c>
      <c r="X42">
        <v>27</v>
      </c>
      <c r="Y42">
        <v>19.958665</v>
      </c>
      <c r="Z42">
        <v>-2.5539290000000001</v>
      </c>
      <c r="AA42">
        <v>19.958665</v>
      </c>
      <c r="AB42">
        <v>-4.0917320000000004</v>
      </c>
      <c r="AC42">
        <v>0</v>
      </c>
      <c r="AD42" s="33">
        <v>1.537803</v>
      </c>
    </row>
    <row r="43" spans="2:30">
      <c r="W43" s="36">
        <v>27</v>
      </c>
      <c r="X43">
        <v>29</v>
      </c>
      <c r="Y43">
        <v>6.8266980000000004</v>
      </c>
      <c r="Z43">
        <v>1.8698189999999999</v>
      </c>
      <c r="AA43">
        <v>6.7202710000000003</v>
      </c>
      <c r="AB43">
        <v>1.66873</v>
      </c>
      <c r="AC43">
        <v>0.10642699999999999</v>
      </c>
      <c r="AD43" s="33">
        <v>0.20108799999999999</v>
      </c>
    </row>
    <row r="44" spans="2:30">
      <c r="W44" s="36">
        <v>27</v>
      </c>
      <c r="X44">
        <v>30</v>
      </c>
      <c r="Y44">
        <v>7.8250989999999998</v>
      </c>
      <c r="Z44">
        <v>1.873656</v>
      </c>
      <c r="AA44">
        <v>7.6247439999999997</v>
      </c>
      <c r="AB44">
        <v>1.4965360000000001</v>
      </c>
      <c r="AC44">
        <v>0.20035500000000001</v>
      </c>
      <c r="AD44" s="33">
        <v>0.37712000000000001</v>
      </c>
    </row>
    <row r="45" spans="2:30" ht="14.4" thickBot="1">
      <c r="W45" s="37">
        <v>29</v>
      </c>
      <c r="X45" s="19">
        <v>30</v>
      </c>
      <c r="Y45" s="19">
        <v>4.0817249999999996</v>
      </c>
      <c r="Z45" s="19">
        <v>0.68183300000000002</v>
      </c>
      <c r="AA45" s="19">
        <v>4.0402360000000002</v>
      </c>
      <c r="AB45" s="19">
        <v>0.60343800000000003</v>
      </c>
      <c r="AC45" s="19">
        <v>4.1488999999999998E-2</v>
      </c>
      <c r="AD45" s="20">
        <v>7.8395999999999993E-2</v>
      </c>
    </row>
  </sheetData>
  <mergeCells count="4">
    <mergeCell ref="B3:B4"/>
    <mergeCell ref="B2:I2"/>
    <mergeCell ref="R3:T3"/>
    <mergeCell ref="M2:P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9399-7DBF-4859-B479-9CE71CFBDE90}">
  <dimension ref="B2:AC46"/>
  <sheetViews>
    <sheetView topLeftCell="J1" workbookViewId="0">
      <selection activeCell="J44" sqref="J44"/>
    </sheetView>
  </sheetViews>
  <sheetFormatPr baseColWidth="10" defaultColWidth="11.3984375" defaultRowHeight="13.8"/>
  <sheetData>
    <row r="2" spans="2:29"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</row>
    <row r="3" spans="2:29">
      <c r="B3" s="159"/>
      <c r="C3" s="214" t="s">
        <v>269</v>
      </c>
      <c r="D3" s="215"/>
      <c r="E3" s="215"/>
      <c r="F3" s="215"/>
      <c r="G3" s="215"/>
      <c r="H3" s="215"/>
      <c r="I3" s="215"/>
      <c r="J3" s="216"/>
      <c r="K3" s="159"/>
      <c r="L3" s="217" t="s">
        <v>516</v>
      </c>
      <c r="M3" s="218"/>
      <c r="N3" s="159"/>
      <c r="O3" s="217" t="s">
        <v>546</v>
      </c>
      <c r="P3" s="218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</row>
    <row r="4" spans="2:29" ht="15" customHeight="1">
      <c r="B4" s="159"/>
      <c r="C4" s="221" t="s">
        <v>8</v>
      </c>
      <c r="D4" s="161" t="s">
        <v>6</v>
      </c>
      <c r="E4" s="159" t="s">
        <v>274</v>
      </c>
      <c r="F4" s="159" t="s">
        <v>271</v>
      </c>
      <c r="G4" s="159" t="s">
        <v>201</v>
      </c>
      <c r="H4" s="159" t="s">
        <v>202</v>
      </c>
      <c r="I4" s="159" t="s">
        <v>272</v>
      </c>
      <c r="J4" s="138" t="s">
        <v>273</v>
      </c>
      <c r="K4" s="159"/>
      <c r="L4" s="219"/>
      <c r="M4" s="220"/>
      <c r="N4" s="159"/>
      <c r="O4" s="219"/>
      <c r="P4" s="220"/>
      <c r="Q4" s="159"/>
      <c r="R4" s="214" t="s">
        <v>277</v>
      </c>
      <c r="S4" s="215"/>
      <c r="T4" s="216"/>
      <c r="U4" s="159"/>
      <c r="V4" s="159"/>
      <c r="W4" s="159"/>
      <c r="X4" s="159"/>
      <c r="Y4" s="159"/>
      <c r="Z4" s="159"/>
      <c r="AA4" s="159"/>
      <c r="AB4" s="159"/>
      <c r="AC4" s="159"/>
    </row>
    <row r="5" spans="2:29" ht="29.4">
      <c r="B5" s="159"/>
      <c r="C5" s="222"/>
      <c r="D5" s="162" t="s">
        <v>547</v>
      </c>
      <c r="E5" s="163" t="s">
        <v>281</v>
      </c>
      <c r="F5" s="163" t="s">
        <v>282</v>
      </c>
      <c r="G5" s="163" t="s">
        <v>283</v>
      </c>
      <c r="H5" s="163" t="s">
        <v>284</v>
      </c>
      <c r="I5" s="163" t="s">
        <v>283</v>
      </c>
      <c r="J5" s="141" t="s">
        <v>284</v>
      </c>
      <c r="K5" s="159"/>
      <c r="L5" s="140" t="s">
        <v>274</v>
      </c>
      <c r="M5" s="164" t="s">
        <v>271</v>
      </c>
      <c r="N5" s="159"/>
      <c r="O5" s="140" t="s">
        <v>274</v>
      </c>
      <c r="P5" s="164" t="s">
        <v>271</v>
      </c>
      <c r="Q5" s="159"/>
      <c r="R5" s="165" t="s">
        <v>287</v>
      </c>
      <c r="S5" s="166" t="s">
        <v>288</v>
      </c>
      <c r="T5" s="167" t="s">
        <v>289</v>
      </c>
      <c r="U5" s="159"/>
      <c r="V5" s="168" t="s">
        <v>292</v>
      </c>
      <c r="W5" s="169" t="s">
        <v>293</v>
      </c>
      <c r="X5" s="170" t="s">
        <v>294</v>
      </c>
      <c r="Y5" s="170" t="s">
        <v>295</v>
      </c>
      <c r="Z5" s="170" t="s">
        <v>296</v>
      </c>
      <c r="AA5" s="170" t="s">
        <v>297</v>
      </c>
      <c r="AB5" s="170" t="s">
        <v>298</v>
      </c>
      <c r="AC5" s="171" t="s">
        <v>299</v>
      </c>
    </row>
    <row r="6" spans="2:29">
      <c r="B6" s="159"/>
      <c r="C6" s="160" t="s">
        <v>23</v>
      </c>
      <c r="D6" s="159">
        <v>1</v>
      </c>
      <c r="E6" s="181" t="s">
        <v>548</v>
      </c>
      <c r="F6" s="159">
        <v>0</v>
      </c>
      <c r="G6" s="159">
        <v>260.2</v>
      </c>
      <c r="H6" s="159">
        <v>-17.53</v>
      </c>
      <c r="I6" s="159">
        <v>0</v>
      </c>
      <c r="J6" s="138">
        <v>0</v>
      </c>
      <c r="K6" s="159"/>
      <c r="L6" s="150">
        <v>0</v>
      </c>
      <c r="M6" s="139" t="s">
        <v>304</v>
      </c>
      <c r="N6" s="159"/>
      <c r="O6" s="150">
        <v>0</v>
      </c>
      <c r="P6" s="139" t="s">
        <v>304</v>
      </c>
      <c r="Q6" s="159"/>
      <c r="R6" s="137" t="s">
        <v>549</v>
      </c>
      <c r="S6" s="159" t="s">
        <v>550</v>
      </c>
      <c r="T6" s="138" t="s">
        <v>551</v>
      </c>
      <c r="U6" s="159"/>
      <c r="V6" s="172">
        <v>1</v>
      </c>
      <c r="W6" s="172">
        <v>2</v>
      </c>
      <c r="X6" s="172" t="s">
        <v>552</v>
      </c>
      <c r="Y6" s="173" t="s">
        <v>553</v>
      </c>
      <c r="Z6" s="173" t="s">
        <v>554</v>
      </c>
      <c r="AA6" s="172" t="s">
        <v>555</v>
      </c>
      <c r="AB6" s="174">
        <v>3258</v>
      </c>
      <c r="AC6" s="172" t="s">
        <v>556</v>
      </c>
    </row>
    <row r="7" spans="2:29">
      <c r="B7" s="159"/>
      <c r="C7" s="160" t="s">
        <v>26</v>
      </c>
      <c r="D7" s="159">
        <v>2</v>
      </c>
      <c r="E7" s="182">
        <v>1045</v>
      </c>
      <c r="F7" s="175">
        <v>-49362</v>
      </c>
      <c r="G7" s="159">
        <v>40</v>
      </c>
      <c r="H7" s="159">
        <v>52.107999999999997</v>
      </c>
      <c r="I7" s="159">
        <v>23.87</v>
      </c>
      <c r="J7" s="138">
        <v>13.97</v>
      </c>
      <c r="K7" s="159"/>
      <c r="L7" s="150">
        <v>0</v>
      </c>
      <c r="M7" s="151">
        <v>-0.08</v>
      </c>
      <c r="N7" s="159"/>
      <c r="O7" s="150">
        <v>0</v>
      </c>
      <c r="P7" s="151">
        <v>-0.19</v>
      </c>
      <c r="Q7" s="159"/>
      <c r="R7" s="137" t="s">
        <v>549</v>
      </c>
      <c r="S7" s="159" t="s">
        <v>550</v>
      </c>
      <c r="T7" s="138" t="s">
        <v>557</v>
      </c>
      <c r="U7" s="159"/>
      <c r="V7" s="172">
        <v>1</v>
      </c>
      <c r="W7" s="172">
        <v>3</v>
      </c>
      <c r="X7" s="172" t="s">
        <v>558</v>
      </c>
      <c r="Y7" s="172" t="s">
        <v>559</v>
      </c>
      <c r="Z7" s="173" t="s">
        <v>560</v>
      </c>
      <c r="AA7" s="172" t="s">
        <v>561</v>
      </c>
      <c r="AB7" s="174">
        <v>1849</v>
      </c>
      <c r="AC7" s="172" t="s">
        <v>562</v>
      </c>
    </row>
    <row r="8" spans="2:29">
      <c r="B8" s="159"/>
      <c r="C8" s="160" t="s">
        <v>30</v>
      </c>
      <c r="D8" s="159">
        <v>3</v>
      </c>
      <c r="E8" s="182">
        <v>10242</v>
      </c>
      <c r="F8" s="175">
        <v>-65767</v>
      </c>
      <c r="G8" s="159">
        <v>0</v>
      </c>
      <c r="H8" s="176" t="s">
        <v>330</v>
      </c>
      <c r="I8" s="159">
        <v>2.64</v>
      </c>
      <c r="J8" s="138">
        <v>1.32</v>
      </c>
      <c r="K8" s="159"/>
      <c r="L8" s="150">
        <v>0</v>
      </c>
      <c r="M8" s="151">
        <v>-0.13</v>
      </c>
      <c r="N8" s="159"/>
      <c r="O8" s="150">
        <v>0.01</v>
      </c>
      <c r="P8" s="151">
        <v>-0.22</v>
      </c>
      <c r="Q8" s="159"/>
      <c r="R8" s="137" t="s">
        <v>549</v>
      </c>
      <c r="S8" s="159" t="s">
        <v>550</v>
      </c>
      <c r="T8" s="177">
        <v>1351944</v>
      </c>
      <c r="U8" s="159"/>
      <c r="V8" s="172">
        <v>2</v>
      </c>
      <c r="W8" s="172">
        <v>4</v>
      </c>
      <c r="X8" s="172" t="s">
        <v>563</v>
      </c>
      <c r="Y8" s="172" t="s">
        <v>564</v>
      </c>
      <c r="Z8" s="173" t="s">
        <v>565</v>
      </c>
      <c r="AA8" s="173" t="s">
        <v>566</v>
      </c>
      <c r="AB8" s="172" t="s">
        <v>567</v>
      </c>
      <c r="AC8" s="172" t="s">
        <v>568</v>
      </c>
    </row>
    <row r="9" spans="2:29">
      <c r="B9" s="159"/>
      <c r="C9" s="160" t="s">
        <v>30</v>
      </c>
      <c r="D9" s="159">
        <v>4</v>
      </c>
      <c r="E9" s="182">
        <v>10158</v>
      </c>
      <c r="F9" s="175">
        <v>-80876</v>
      </c>
      <c r="G9" s="159">
        <v>0</v>
      </c>
      <c r="H9" s="176" t="s">
        <v>330</v>
      </c>
      <c r="I9" s="159">
        <v>8.36</v>
      </c>
      <c r="J9" s="138">
        <v>1.76</v>
      </c>
      <c r="K9" s="159"/>
      <c r="L9" s="150">
        <v>0</v>
      </c>
      <c r="M9" s="151">
        <v>-0.13</v>
      </c>
      <c r="N9" s="159"/>
      <c r="O9" s="150">
        <v>0.01</v>
      </c>
      <c r="P9" s="151">
        <v>-0.22</v>
      </c>
      <c r="Q9" s="159"/>
      <c r="R9" s="137" t="s">
        <v>549</v>
      </c>
      <c r="S9" s="159" t="s">
        <v>550</v>
      </c>
      <c r="T9" s="177">
        <v>1340856</v>
      </c>
      <c r="U9" s="159"/>
      <c r="V9" s="172">
        <v>3</v>
      </c>
      <c r="W9" s="172">
        <v>4</v>
      </c>
      <c r="X9" s="172" t="s">
        <v>569</v>
      </c>
      <c r="Y9" s="172" t="s">
        <v>570</v>
      </c>
      <c r="Z9" s="173" t="s">
        <v>571</v>
      </c>
      <c r="AA9" s="172" t="s">
        <v>572</v>
      </c>
      <c r="AB9" s="172" t="s">
        <v>573</v>
      </c>
      <c r="AC9" s="172" t="s">
        <v>574</v>
      </c>
    </row>
    <row r="10" spans="2:29">
      <c r="B10" s="159"/>
      <c r="C10" s="160" t="s">
        <v>26</v>
      </c>
      <c r="D10" s="159">
        <v>5</v>
      </c>
      <c r="E10" s="181" t="s">
        <v>575</v>
      </c>
      <c r="F10" s="175">
        <v>-138951</v>
      </c>
      <c r="G10" s="159">
        <v>0</v>
      </c>
      <c r="H10" s="159">
        <v>41.018000000000001</v>
      </c>
      <c r="I10" s="159">
        <v>103.62</v>
      </c>
      <c r="J10" s="138">
        <v>20.9</v>
      </c>
      <c r="K10" s="159"/>
      <c r="L10" s="150">
        <v>0</v>
      </c>
      <c r="M10" s="151">
        <v>-0.02</v>
      </c>
      <c r="N10" s="159"/>
      <c r="O10" s="150">
        <v>0</v>
      </c>
      <c r="P10" s="151">
        <v>-0.12</v>
      </c>
      <c r="Q10" s="159"/>
      <c r="R10" s="137" t="s">
        <v>549</v>
      </c>
      <c r="S10" s="159" t="s">
        <v>550</v>
      </c>
      <c r="T10" s="138" t="s">
        <v>576</v>
      </c>
      <c r="U10" s="159"/>
      <c r="V10" s="172">
        <v>2</v>
      </c>
      <c r="W10" s="172">
        <v>5</v>
      </c>
      <c r="X10" s="172" t="s">
        <v>577</v>
      </c>
      <c r="Y10" s="172" t="s">
        <v>578</v>
      </c>
      <c r="Z10" s="173" t="s">
        <v>579</v>
      </c>
      <c r="AA10" s="172" t="s">
        <v>580</v>
      </c>
      <c r="AB10" s="174">
        <v>2464</v>
      </c>
      <c r="AC10" s="172" t="s">
        <v>581</v>
      </c>
    </row>
    <row r="11" spans="2:29">
      <c r="B11" s="159"/>
      <c r="C11" s="160" t="s">
        <v>30</v>
      </c>
      <c r="D11" s="159">
        <v>6</v>
      </c>
      <c r="E11" s="182">
        <v>10132</v>
      </c>
      <c r="F11" s="175">
        <v>-97242</v>
      </c>
      <c r="G11" s="159">
        <v>0</v>
      </c>
      <c r="H11" s="176" t="s">
        <v>330</v>
      </c>
      <c r="I11" s="159">
        <v>0</v>
      </c>
      <c r="J11" s="138">
        <v>0</v>
      </c>
      <c r="K11" s="159"/>
      <c r="L11" s="150">
        <v>0</v>
      </c>
      <c r="M11" s="151">
        <v>-0.12</v>
      </c>
      <c r="N11" s="159"/>
      <c r="O11" s="150">
        <v>0</v>
      </c>
      <c r="P11" s="151">
        <v>-0.21</v>
      </c>
      <c r="Q11" s="159"/>
      <c r="R11" s="137" t="s">
        <v>549</v>
      </c>
      <c r="S11" s="159" t="s">
        <v>550</v>
      </c>
      <c r="T11" s="177">
        <v>1337424</v>
      </c>
      <c r="U11" s="159"/>
      <c r="V11" s="172">
        <v>2</v>
      </c>
      <c r="W11" s="172">
        <v>6</v>
      </c>
      <c r="X11" s="172" t="s">
        <v>582</v>
      </c>
      <c r="Y11" s="172" t="s">
        <v>583</v>
      </c>
      <c r="Z11" s="173" t="s">
        <v>584</v>
      </c>
      <c r="AA11" s="173" t="s">
        <v>585</v>
      </c>
      <c r="AB11" s="172" t="s">
        <v>586</v>
      </c>
      <c r="AC11" s="172" t="s">
        <v>587</v>
      </c>
    </row>
    <row r="12" spans="2:29">
      <c r="B12" s="159"/>
      <c r="C12" s="160" t="s">
        <v>30</v>
      </c>
      <c r="D12" s="159">
        <v>7</v>
      </c>
      <c r="E12" s="182">
        <v>10032</v>
      </c>
      <c r="F12" s="175">
        <v>-120114</v>
      </c>
      <c r="G12" s="159">
        <v>0</v>
      </c>
      <c r="H12" s="176" t="s">
        <v>330</v>
      </c>
      <c r="I12" s="159">
        <v>25.08</v>
      </c>
      <c r="J12" s="138">
        <v>11.99</v>
      </c>
      <c r="K12" s="159"/>
      <c r="L12" s="150">
        <v>0</v>
      </c>
      <c r="M12" s="151">
        <v>-7.0000000000000007E-2</v>
      </c>
      <c r="N12" s="159"/>
      <c r="O12" s="150">
        <v>0</v>
      </c>
      <c r="P12" s="151">
        <v>-0.16</v>
      </c>
      <c r="Q12" s="159"/>
      <c r="R12" s="137" t="s">
        <v>549</v>
      </c>
      <c r="S12" s="159" t="s">
        <v>550</v>
      </c>
      <c r="T12" s="177">
        <v>1324224</v>
      </c>
      <c r="U12" s="159"/>
      <c r="V12" s="172">
        <v>4</v>
      </c>
      <c r="W12" s="172">
        <v>6</v>
      </c>
      <c r="X12" s="172" t="s">
        <v>588</v>
      </c>
      <c r="Y12" s="173" t="s">
        <v>589</v>
      </c>
      <c r="Z12" s="173" t="s">
        <v>590</v>
      </c>
      <c r="AA12" s="172" t="s">
        <v>591</v>
      </c>
      <c r="AB12" s="172" t="s">
        <v>592</v>
      </c>
      <c r="AC12" s="172" t="s">
        <v>593</v>
      </c>
    </row>
    <row r="13" spans="2:29">
      <c r="B13" s="159"/>
      <c r="C13" s="160" t="s">
        <v>26</v>
      </c>
      <c r="D13" s="159">
        <v>8</v>
      </c>
      <c r="E13" s="181" t="s">
        <v>575</v>
      </c>
      <c r="F13" s="175">
        <v>-104385</v>
      </c>
      <c r="G13" s="159">
        <v>0</v>
      </c>
      <c r="H13" s="159">
        <v>31.878</v>
      </c>
      <c r="I13" s="159">
        <v>33</v>
      </c>
      <c r="J13" s="138">
        <v>33</v>
      </c>
      <c r="K13" s="159"/>
      <c r="L13" s="150">
        <v>0</v>
      </c>
      <c r="M13" s="151">
        <v>-0.12</v>
      </c>
      <c r="N13" s="159"/>
      <c r="O13" s="150">
        <v>0</v>
      </c>
      <c r="P13" s="151">
        <v>-0.21</v>
      </c>
      <c r="Q13" s="159"/>
      <c r="R13" s="137" t="s">
        <v>549</v>
      </c>
      <c r="S13" s="159" t="s">
        <v>550</v>
      </c>
      <c r="T13" s="138" t="s">
        <v>576</v>
      </c>
      <c r="U13" s="159"/>
      <c r="V13" s="172">
        <v>5</v>
      </c>
      <c r="W13" s="172">
        <v>7</v>
      </c>
      <c r="X13" s="173" t="s">
        <v>594</v>
      </c>
      <c r="Y13" s="172" t="s">
        <v>595</v>
      </c>
      <c r="Z13" s="172" t="s">
        <v>596</v>
      </c>
      <c r="AA13" s="173" t="s">
        <v>597</v>
      </c>
      <c r="AB13" s="172" t="s">
        <v>598</v>
      </c>
      <c r="AC13" s="172" t="s">
        <v>599</v>
      </c>
    </row>
    <row r="14" spans="2:29">
      <c r="B14" s="159"/>
      <c r="C14" s="160" t="s">
        <v>30</v>
      </c>
      <c r="D14" s="159">
        <v>9</v>
      </c>
      <c r="E14" s="182">
        <v>10524</v>
      </c>
      <c r="F14" s="175">
        <v>-115934</v>
      </c>
      <c r="G14" s="159">
        <v>0</v>
      </c>
      <c r="H14" s="176" t="s">
        <v>330</v>
      </c>
      <c r="I14" s="159">
        <v>0</v>
      </c>
      <c r="J14" s="138">
        <v>0</v>
      </c>
      <c r="K14" s="159"/>
      <c r="L14" s="150">
        <v>0</v>
      </c>
      <c r="M14" s="151">
        <v>-0.18</v>
      </c>
      <c r="N14" s="159"/>
      <c r="O14" s="150">
        <v>0</v>
      </c>
      <c r="P14" s="151">
        <v>-0.26</v>
      </c>
      <c r="Q14" s="159"/>
      <c r="R14" s="137" t="s">
        <v>600</v>
      </c>
      <c r="S14" s="159" t="s">
        <v>601</v>
      </c>
      <c r="T14" s="177">
        <v>10524</v>
      </c>
      <c r="U14" s="159"/>
      <c r="V14" s="172">
        <v>6</v>
      </c>
      <c r="W14" s="172">
        <v>7</v>
      </c>
      <c r="X14" s="172" t="s">
        <v>602</v>
      </c>
      <c r="Y14" s="173" t="s">
        <v>603</v>
      </c>
      <c r="Z14" s="173" t="s">
        <v>604</v>
      </c>
      <c r="AA14" s="172" t="s">
        <v>605</v>
      </c>
      <c r="AB14" s="172" t="s">
        <v>606</v>
      </c>
      <c r="AC14" s="172" t="s">
        <v>607</v>
      </c>
    </row>
    <row r="15" spans="2:29">
      <c r="B15" s="159"/>
      <c r="C15" s="160" t="s">
        <v>30</v>
      </c>
      <c r="D15" s="159">
        <v>10</v>
      </c>
      <c r="E15" s="182">
        <v>10459</v>
      </c>
      <c r="F15" s="175">
        <v>-125724</v>
      </c>
      <c r="G15" s="159">
        <v>0</v>
      </c>
      <c r="H15" s="176" t="s">
        <v>330</v>
      </c>
      <c r="I15" s="159">
        <v>6.38</v>
      </c>
      <c r="J15" s="138">
        <v>2.2000000000000002</v>
      </c>
      <c r="K15" s="159"/>
      <c r="L15" s="150">
        <v>0</v>
      </c>
      <c r="M15" s="151">
        <v>-0.2</v>
      </c>
      <c r="N15" s="159"/>
      <c r="O15" s="150">
        <v>0.01</v>
      </c>
      <c r="P15" s="151">
        <v>-0.28000000000000003</v>
      </c>
      <c r="Q15" s="159"/>
      <c r="R15" s="137" t="s">
        <v>608</v>
      </c>
      <c r="S15" s="159" t="s">
        <v>609</v>
      </c>
      <c r="T15" s="177">
        <v>345147</v>
      </c>
      <c r="U15" s="159"/>
      <c r="V15" s="172">
        <v>6</v>
      </c>
      <c r="W15" s="172">
        <v>8</v>
      </c>
      <c r="X15" s="172">
        <v>26</v>
      </c>
      <c r="Y15" s="172" t="s">
        <v>610</v>
      </c>
      <c r="Z15" s="173" t="s">
        <v>611</v>
      </c>
      <c r="AA15" s="173" t="s">
        <v>612</v>
      </c>
      <c r="AB15" s="172" t="s">
        <v>613</v>
      </c>
      <c r="AC15" s="172" t="s">
        <v>614</v>
      </c>
    </row>
    <row r="16" spans="2:29">
      <c r="B16" s="159"/>
      <c r="C16" s="160" t="s">
        <v>26</v>
      </c>
      <c r="D16" s="159">
        <v>11</v>
      </c>
      <c r="E16" s="182">
        <v>1082</v>
      </c>
      <c r="F16" s="175">
        <v>-115934</v>
      </c>
      <c r="G16" s="159">
        <v>0</v>
      </c>
      <c r="H16" s="159">
        <v>15.39</v>
      </c>
      <c r="I16" s="159">
        <v>0</v>
      </c>
      <c r="J16" s="138">
        <v>0</v>
      </c>
      <c r="K16" s="159"/>
      <c r="L16" s="150">
        <v>0</v>
      </c>
      <c r="M16" s="151">
        <v>-0.18</v>
      </c>
      <c r="N16" s="159"/>
      <c r="O16" s="150">
        <v>0</v>
      </c>
      <c r="P16" s="151">
        <v>-0.26</v>
      </c>
      <c r="Q16" s="159"/>
      <c r="R16" s="137" t="s">
        <v>615</v>
      </c>
      <c r="S16" s="159" t="s">
        <v>616</v>
      </c>
      <c r="T16" s="177">
        <v>11902</v>
      </c>
      <c r="U16" s="159"/>
      <c r="V16" s="172">
        <v>6</v>
      </c>
      <c r="W16" s="172">
        <v>9</v>
      </c>
      <c r="X16" s="172" t="s">
        <v>617</v>
      </c>
      <c r="Y16" s="173" t="s">
        <v>618</v>
      </c>
      <c r="Z16" s="173" t="s">
        <v>619</v>
      </c>
      <c r="AA16" s="172" t="s">
        <v>620</v>
      </c>
      <c r="AB16" s="172">
        <v>0</v>
      </c>
      <c r="AC16" s="172" t="s">
        <v>621</v>
      </c>
    </row>
    <row r="17" spans="2:29">
      <c r="B17" s="159"/>
      <c r="C17" s="160" t="s">
        <v>30</v>
      </c>
      <c r="D17" s="159">
        <v>12</v>
      </c>
      <c r="E17" s="182">
        <v>10579</v>
      </c>
      <c r="F17" s="175">
        <v>-119733</v>
      </c>
      <c r="G17" s="159">
        <v>10</v>
      </c>
      <c r="H17" s="176" t="s">
        <v>330</v>
      </c>
      <c r="I17" s="159">
        <v>12.32</v>
      </c>
      <c r="J17" s="138">
        <v>8.25</v>
      </c>
      <c r="K17" s="159"/>
      <c r="L17" s="150">
        <v>0</v>
      </c>
      <c r="M17" s="151">
        <v>-0.2</v>
      </c>
      <c r="N17" s="159"/>
      <c r="O17" s="150">
        <v>0</v>
      </c>
      <c r="P17" s="151">
        <v>-0.28000000000000003</v>
      </c>
      <c r="Q17" s="159"/>
      <c r="R17" s="137" t="s">
        <v>608</v>
      </c>
      <c r="S17" s="159" t="s">
        <v>609</v>
      </c>
      <c r="T17" s="177">
        <v>349107</v>
      </c>
      <c r="U17" s="159"/>
      <c r="V17" s="172">
        <v>6</v>
      </c>
      <c r="W17" s="172">
        <v>10</v>
      </c>
      <c r="X17" s="172" t="s">
        <v>622</v>
      </c>
      <c r="Y17" s="173" t="s">
        <v>623</v>
      </c>
      <c r="Z17" s="173" t="s">
        <v>624</v>
      </c>
      <c r="AA17" s="172" t="s">
        <v>625</v>
      </c>
      <c r="AB17" s="172">
        <v>0</v>
      </c>
      <c r="AC17" s="172" t="s">
        <v>626</v>
      </c>
    </row>
    <row r="18" spans="2:29">
      <c r="B18" s="159"/>
      <c r="C18" s="160" t="s">
        <v>26</v>
      </c>
      <c r="D18" s="159">
        <v>13</v>
      </c>
      <c r="E18" s="182">
        <v>1071</v>
      </c>
      <c r="F18" s="175">
        <v>-119733</v>
      </c>
      <c r="G18" s="159">
        <v>0</v>
      </c>
      <c r="H18" s="159">
        <v>10.002000000000001</v>
      </c>
      <c r="I18" s="159">
        <v>0</v>
      </c>
      <c r="J18" s="138">
        <v>0</v>
      </c>
      <c r="K18" s="159"/>
      <c r="L18" s="150">
        <v>0</v>
      </c>
      <c r="M18" s="151">
        <v>-0.2</v>
      </c>
      <c r="N18" s="159"/>
      <c r="O18" s="150">
        <v>0</v>
      </c>
      <c r="P18" s="151">
        <v>-0.28000000000000003</v>
      </c>
      <c r="Q18" s="159"/>
      <c r="R18" s="137" t="s">
        <v>615</v>
      </c>
      <c r="S18" s="159" t="s">
        <v>616</v>
      </c>
      <c r="T18" s="177">
        <v>11781</v>
      </c>
      <c r="U18" s="159"/>
      <c r="V18" s="172">
        <v>9</v>
      </c>
      <c r="W18" s="172">
        <v>11</v>
      </c>
      <c r="X18" s="172">
        <v>0</v>
      </c>
      <c r="Y18" s="173" t="s">
        <v>627</v>
      </c>
      <c r="Z18" s="172">
        <v>0</v>
      </c>
      <c r="AA18" s="172" t="s">
        <v>628</v>
      </c>
      <c r="AB18" s="172">
        <v>0</v>
      </c>
      <c r="AC18" s="172" t="s">
        <v>629</v>
      </c>
    </row>
    <row r="19" spans="2:29">
      <c r="B19" s="159"/>
      <c r="C19" s="160" t="s">
        <v>30</v>
      </c>
      <c r="D19" s="159">
        <v>14</v>
      </c>
      <c r="E19" s="182">
        <v>10428</v>
      </c>
      <c r="F19" s="175">
        <v>-127481</v>
      </c>
      <c r="G19" s="159">
        <v>0</v>
      </c>
      <c r="H19" s="176" t="s">
        <v>330</v>
      </c>
      <c r="I19" s="159">
        <v>6.82</v>
      </c>
      <c r="J19" s="138">
        <v>1.76</v>
      </c>
      <c r="K19" s="159"/>
      <c r="L19" s="150">
        <v>0</v>
      </c>
      <c r="M19" s="151">
        <v>-0.19</v>
      </c>
      <c r="N19" s="159"/>
      <c r="O19" s="150">
        <v>0.01</v>
      </c>
      <c r="P19" s="151">
        <v>-0.28000000000000003</v>
      </c>
      <c r="Q19" s="159"/>
      <c r="R19" s="137" t="s">
        <v>608</v>
      </c>
      <c r="S19" s="159" t="s">
        <v>609</v>
      </c>
      <c r="T19" s="177">
        <v>344124</v>
      </c>
      <c r="U19" s="159"/>
      <c r="V19" s="172">
        <v>9</v>
      </c>
      <c r="W19" s="172">
        <v>10</v>
      </c>
      <c r="X19" s="172" t="s">
        <v>617</v>
      </c>
      <c r="Y19" s="172" t="s">
        <v>630</v>
      </c>
      <c r="Z19" s="173" t="s">
        <v>619</v>
      </c>
      <c r="AA19" s="173" t="s">
        <v>631</v>
      </c>
      <c r="AB19" s="172">
        <v>0</v>
      </c>
      <c r="AC19" s="172" t="s">
        <v>572</v>
      </c>
    </row>
    <row r="20" spans="2:29">
      <c r="B20" s="159"/>
      <c r="C20" s="160" t="s">
        <v>30</v>
      </c>
      <c r="D20" s="159">
        <v>15</v>
      </c>
      <c r="E20" s="182">
        <v>10404</v>
      </c>
      <c r="F20" s="175">
        <v>-126714</v>
      </c>
      <c r="G20" s="159">
        <v>0</v>
      </c>
      <c r="H20" s="176" t="s">
        <v>330</v>
      </c>
      <c r="I20" s="159">
        <v>9.02</v>
      </c>
      <c r="J20" s="138">
        <v>2.75</v>
      </c>
      <c r="K20" s="159"/>
      <c r="L20" s="150">
        <v>0</v>
      </c>
      <c r="M20" s="151">
        <v>-0.2</v>
      </c>
      <c r="N20" s="159"/>
      <c r="O20" s="150">
        <v>0.01</v>
      </c>
      <c r="P20" s="151">
        <v>-0.28999999999999998</v>
      </c>
      <c r="Q20" s="159"/>
      <c r="R20" s="137" t="s">
        <v>608</v>
      </c>
      <c r="S20" s="159" t="s">
        <v>609</v>
      </c>
      <c r="T20" s="177">
        <v>343332</v>
      </c>
      <c r="U20" s="159"/>
      <c r="V20" s="172">
        <v>4</v>
      </c>
      <c r="W20" s="172">
        <v>12</v>
      </c>
      <c r="X20" s="172" t="s">
        <v>632</v>
      </c>
      <c r="Y20" s="172" t="s">
        <v>633</v>
      </c>
      <c r="Z20" s="173" t="s">
        <v>634</v>
      </c>
      <c r="AA20" s="173" t="s">
        <v>635</v>
      </c>
      <c r="AB20" s="172">
        <v>0</v>
      </c>
      <c r="AC20" s="172" t="s">
        <v>636</v>
      </c>
    </row>
    <row r="21" spans="2:29">
      <c r="B21" s="159"/>
      <c r="C21" s="160" t="s">
        <v>30</v>
      </c>
      <c r="D21" s="159">
        <v>16</v>
      </c>
      <c r="E21" s="182">
        <v>10446</v>
      </c>
      <c r="F21" s="175">
        <v>-12517</v>
      </c>
      <c r="G21" s="159">
        <v>0</v>
      </c>
      <c r="H21" s="176" t="s">
        <v>330</v>
      </c>
      <c r="I21" s="159">
        <v>3.85</v>
      </c>
      <c r="J21" s="138">
        <v>1.98</v>
      </c>
      <c r="K21" s="159"/>
      <c r="L21" s="150">
        <v>0</v>
      </c>
      <c r="M21" s="151">
        <v>-0.19</v>
      </c>
      <c r="N21" s="159"/>
      <c r="O21" s="150">
        <v>0.01</v>
      </c>
      <c r="P21" s="151">
        <v>-0.28000000000000003</v>
      </c>
      <c r="Q21" s="159"/>
      <c r="R21" s="137" t="s">
        <v>608</v>
      </c>
      <c r="S21" s="159" t="s">
        <v>609</v>
      </c>
      <c r="T21" s="177">
        <v>344718</v>
      </c>
      <c r="U21" s="159"/>
      <c r="V21" s="172">
        <v>12</v>
      </c>
      <c r="W21" s="172">
        <v>13</v>
      </c>
      <c r="X21" s="172">
        <v>0</v>
      </c>
      <c r="Y21" s="173" t="s">
        <v>637</v>
      </c>
      <c r="Z21" s="172">
        <v>0</v>
      </c>
      <c r="AA21" s="172" t="s">
        <v>638</v>
      </c>
      <c r="AB21" s="172">
        <v>0</v>
      </c>
      <c r="AC21" s="172" t="s">
        <v>639</v>
      </c>
    </row>
    <row r="22" spans="2:29">
      <c r="B22" s="159"/>
      <c r="C22" s="160" t="s">
        <v>30</v>
      </c>
      <c r="D22" s="159">
        <v>17</v>
      </c>
      <c r="E22" s="182">
        <v>10399</v>
      </c>
      <c r="F22" s="175">
        <v>-127918</v>
      </c>
      <c r="G22" s="159">
        <v>0</v>
      </c>
      <c r="H22" s="176" t="s">
        <v>330</v>
      </c>
      <c r="I22" s="159">
        <v>9.9</v>
      </c>
      <c r="J22" s="138">
        <v>6.38</v>
      </c>
      <c r="K22" s="159"/>
      <c r="L22" s="150">
        <v>0</v>
      </c>
      <c r="M22" s="151">
        <v>-0.19</v>
      </c>
      <c r="N22" s="159"/>
      <c r="O22" s="150">
        <v>0.01</v>
      </c>
      <c r="P22" s="151">
        <v>-0.28000000000000003</v>
      </c>
      <c r="Q22" s="159"/>
      <c r="R22" s="137" t="s">
        <v>608</v>
      </c>
      <c r="S22" s="159" t="s">
        <v>609</v>
      </c>
      <c r="T22" s="177">
        <v>343167</v>
      </c>
      <c r="U22" s="159"/>
      <c r="V22" s="172">
        <v>12</v>
      </c>
      <c r="W22" s="172">
        <v>14</v>
      </c>
      <c r="X22" s="172" t="s">
        <v>640</v>
      </c>
      <c r="Y22" s="172" t="s">
        <v>641</v>
      </c>
      <c r="Z22" s="173" t="s">
        <v>642</v>
      </c>
      <c r="AA22" s="173" t="s">
        <v>643</v>
      </c>
      <c r="AB22" s="172" t="s">
        <v>644</v>
      </c>
      <c r="AC22" s="172" t="s">
        <v>639</v>
      </c>
    </row>
    <row r="23" spans="2:29">
      <c r="B23" s="159"/>
      <c r="C23" s="160" t="s">
        <v>30</v>
      </c>
      <c r="D23" s="159">
        <v>18</v>
      </c>
      <c r="E23" s="182">
        <v>10336</v>
      </c>
      <c r="F23" s="175">
        <v>-128799</v>
      </c>
      <c r="G23" s="159">
        <v>0</v>
      </c>
      <c r="H23" s="176" t="s">
        <v>330</v>
      </c>
      <c r="I23" s="159">
        <v>3.52</v>
      </c>
      <c r="J23" s="138">
        <v>0.99</v>
      </c>
      <c r="K23" s="159"/>
      <c r="L23" s="150">
        <v>0.01</v>
      </c>
      <c r="M23" s="151">
        <v>-0.22</v>
      </c>
      <c r="N23" s="159"/>
      <c r="O23" s="150">
        <v>0.01</v>
      </c>
      <c r="P23" s="151">
        <v>-0.3</v>
      </c>
      <c r="Q23" s="159"/>
      <c r="R23" s="137" t="s">
        <v>608</v>
      </c>
      <c r="S23" s="159" t="s">
        <v>609</v>
      </c>
      <c r="T23" s="177">
        <v>341088</v>
      </c>
      <c r="U23" s="159"/>
      <c r="V23" s="172">
        <v>12</v>
      </c>
      <c r="W23" s="172">
        <v>15</v>
      </c>
      <c r="X23" s="172" t="s">
        <v>645</v>
      </c>
      <c r="Y23" s="172" t="s">
        <v>646</v>
      </c>
      <c r="Z23" s="173" t="s">
        <v>647</v>
      </c>
      <c r="AA23" s="173" t="s">
        <v>648</v>
      </c>
      <c r="AB23" s="172" t="s">
        <v>649</v>
      </c>
      <c r="AC23" s="172" t="s">
        <v>650</v>
      </c>
    </row>
    <row r="24" spans="2:29">
      <c r="B24" s="159"/>
      <c r="C24" s="160" t="s">
        <v>30</v>
      </c>
      <c r="D24" s="159">
        <v>19</v>
      </c>
      <c r="E24" s="182">
        <v>1033</v>
      </c>
      <c r="F24" s="175">
        <v>-127935</v>
      </c>
      <c r="G24" s="159">
        <v>10</v>
      </c>
      <c r="H24" s="176" t="s">
        <v>330</v>
      </c>
      <c r="I24" s="159">
        <v>10.45</v>
      </c>
      <c r="J24" s="138">
        <v>3.74</v>
      </c>
      <c r="K24" s="159"/>
      <c r="L24" s="150">
        <v>0.01</v>
      </c>
      <c r="M24" s="151">
        <v>-0.23</v>
      </c>
      <c r="N24" s="159"/>
      <c r="O24" s="150">
        <v>0.01</v>
      </c>
      <c r="P24" s="151">
        <v>-0.31</v>
      </c>
      <c r="Q24" s="159"/>
      <c r="R24" s="137" t="s">
        <v>608</v>
      </c>
      <c r="S24" s="159" t="s">
        <v>609</v>
      </c>
      <c r="T24" s="177">
        <v>34089</v>
      </c>
      <c r="U24" s="159"/>
      <c r="V24" s="172">
        <v>12</v>
      </c>
      <c r="W24" s="172">
        <v>16</v>
      </c>
      <c r="X24" s="172" t="s">
        <v>651</v>
      </c>
      <c r="Y24" s="172" t="s">
        <v>652</v>
      </c>
      <c r="Z24" s="173" t="s">
        <v>653</v>
      </c>
      <c r="AA24" s="173" t="s">
        <v>654</v>
      </c>
      <c r="AB24" s="172" t="s">
        <v>655</v>
      </c>
      <c r="AC24" s="172" t="s">
        <v>656</v>
      </c>
    </row>
    <row r="25" spans="2:29">
      <c r="B25" s="159"/>
      <c r="C25" s="160" t="s">
        <v>30</v>
      </c>
      <c r="D25" s="159">
        <v>20</v>
      </c>
      <c r="E25" s="182">
        <v>10352</v>
      </c>
      <c r="F25" s="175">
        <v>-127997</v>
      </c>
      <c r="G25" s="159">
        <v>0</v>
      </c>
      <c r="H25" s="176" t="s">
        <v>330</v>
      </c>
      <c r="I25" s="159">
        <v>2.42</v>
      </c>
      <c r="J25" s="138">
        <v>0.77</v>
      </c>
      <c r="K25" s="159"/>
      <c r="L25" s="150">
        <v>0.01</v>
      </c>
      <c r="M25" s="151">
        <v>-0.22</v>
      </c>
      <c r="N25" s="159"/>
      <c r="O25" s="150">
        <v>0.01</v>
      </c>
      <c r="P25" s="151">
        <v>-0.31</v>
      </c>
      <c r="Q25" s="159"/>
      <c r="R25" s="137" t="s">
        <v>608</v>
      </c>
      <c r="S25" s="159" t="s">
        <v>609</v>
      </c>
      <c r="T25" s="177">
        <v>341616</v>
      </c>
      <c r="U25" s="159"/>
      <c r="V25" s="172">
        <v>14</v>
      </c>
      <c r="W25" s="172">
        <v>15</v>
      </c>
      <c r="X25" s="173" t="s">
        <v>657</v>
      </c>
      <c r="Y25" s="172" t="s">
        <v>658</v>
      </c>
      <c r="Z25" s="172" t="s">
        <v>659</v>
      </c>
      <c r="AA25" s="173" t="s">
        <v>660</v>
      </c>
      <c r="AB25" s="172" t="s">
        <v>661</v>
      </c>
      <c r="AC25" s="172">
        <v>0</v>
      </c>
    </row>
    <row r="26" spans="2:29">
      <c r="B26" s="159"/>
      <c r="C26" s="160" t="s">
        <v>30</v>
      </c>
      <c r="D26" s="159">
        <v>21</v>
      </c>
      <c r="E26" s="182">
        <v>10358</v>
      </c>
      <c r="F26" s="175">
        <v>-126462</v>
      </c>
      <c r="G26" s="159">
        <v>10</v>
      </c>
      <c r="H26" s="176" t="s">
        <v>330</v>
      </c>
      <c r="I26" s="159">
        <v>19.25</v>
      </c>
      <c r="J26" s="138">
        <v>12.32</v>
      </c>
      <c r="K26" s="159"/>
      <c r="L26" s="150">
        <v>0</v>
      </c>
      <c r="M26" s="151">
        <v>-0.22</v>
      </c>
      <c r="N26" s="159"/>
      <c r="O26" s="150">
        <v>0.01</v>
      </c>
      <c r="P26" s="151">
        <v>-0.3</v>
      </c>
      <c r="Q26" s="159"/>
      <c r="R26" s="137" t="s">
        <v>608</v>
      </c>
      <c r="S26" s="159" t="s">
        <v>609</v>
      </c>
      <c r="T26" s="177">
        <v>341814</v>
      </c>
      <c r="U26" s="159"/>
      <c r="V26" s="172">
        <v>16</v>
      </c>
      <c r="W26" s="172">
        <v>17</v>
      </c>
      <c r="X26" s="172" t="s">
        <v>662</v>
      </c>
      <c r="Y26" s="172" t="s">
        <v>663</v>
      </c>
      <c r="Z26" s="173" t="s">
        <v>664</v>
      </c>
      <c r="AA26" s="173" t="s">
        <v>665</v>
      </c>
      <c r="AB26" s="172" t="s">
        <v>666</v>
      </c>
      <c r="AC26" s="172" t="s">
        <v>667</v>
      </c>
    </row>
    <row r="27" spans="2:29">
      <c r="B27" s="159"/>
      <c r="C27" s="160" t="s">
        <v>30</v>
      </c>
      <c r="D27" s="159">
        <v>22</v>
      </c>
      <c r="E27" s="182">
        <v>10365</v>
      </c>
      <c r="F27" s="175">
        <v>-126258</v>
      </c>
      <c r="G27" s="159">
        <v>0</v>
      </c>
      <c r="H27" s="176" t="s">
        <v>330</v>
      </c>
      <c r="I27" s="159">
        <v>0</v>
      </c>
      <c r="J27" s="138">
        <v>0</v>
      </c>
      <c r="K27" s="159"/>
      <c r="L27" s="150">
        <v>0</v>
      </c>
      <c r="M27" s="151">
        <v>-0.22</v>
      </c>
      <c r="N27" s="159"/>
      <c r="O27" s="150">
        <v>0.01</v>
      </c>
      <c r="P27" s="151">
        <v>-0.3</v>
      </c>
      <c r="Q27" s="159"/>
      <c r="R27" s="137" t="s">
        <v>608</v>
      </c>
      <c r="S27" s="159" t="s">
        <v>609</v>
      </c>
      <c r="T27" s="177">
        <v>342045</v>
      </c>
      <c r="U27" s="159"/>
      <c r="V27" s="172">
        <v>15</v>
      </c>
      <c r="W27" s="172">
        <v>18</v>
      </c>
      <c r="X27" s="172" t="s">
        <v>668</v>
      </c>
      <c r="Y27" s="172" t="s">
        <v>669</v>
      </c>
      <c r="Z27" s="173" t="s">
        <v>670</v>
      </c>
      <c r="AA27" s="173" t="s">
        <v>671</v>
      </c>
      <c r="AB27" s="172" t="s">
        <v>672</v>
      </c>
      <c r="AC27" s="172" t="s">
        <v>667</v>
      </c>
    </row>
    <row r="28" spans="2:29">
      <c r="B28" s="159"/>
      <c r="C28" s="160" t="s">
        <v>30</v>
      </c>
      <c r="D28" s="159">
        <v>23</v>
      </c>
      <c r="E28" s="182">
        <v>10319</v>
      </c>
      <c r="F28" s="175">
        <v>-127544</v>
      </c>
      <c r="G28" s="159">
        <v>0</v>
      </c>
      <c r="H28" s="176" t="s">
        <v>330</v>
      </c>
      <c r="I28" s="159">
        <v>3.52</v>
      </c>
      <c r="J28" s="138">
        <v>1.76</v>
      </c>
      <c r="K28" s="159"/>
      <c r="L28" s="150">
        <v>0</v>
      </c>
      <c r="M28" s="151">
        <v>-0.22</v>
      </c>
      <c r="N28" s="159"/>
      <c r="O28" s="150">
        <v>0.01</v>
      </c>
      <c r="P28" s="151">
        <v>-0.3</v>
      </c>
      <c r="Q28" s="159"/>
      <c r="R28" s="137" t="s">
        <v>608</v>
      </c>
      <c r="S28" s="159" t="s">
        <v>609</v>
      </c>
      <c r="T28" s="177">
        <v>340527</v>
      </c>
      <c r="U28" s="159"/>
      <c r="V28" s="172">
        <v>18</v>
      </c>
      <c r="W28" s="172">
        <v>19</v>
      </c>
      <c r="X28" s="173" t="s">
        <v>673</v>
      </c>
      <c r="Y28" s="172" t="s">
        <v>674</v>
      </c>
      <c r="Z28" s="172" t="s">
        <v>675</v>
      </c>
      <c r="AA28" s="173" t="s">
        <v>676</v>
      </c>
      <c r="AB28" s="172" t="s">
        <v>661</v>
      </c>
      <c r="AC28" s="172" t="s">
        <v>667</v>
      </c>
    </row>
    <row r="29" spans="2:29">
      <c r="B29" s="159"/>
      <c r="C29" s="160" t="s">
        <v>30</v>
      </c>
      <c r="D29" s="159">
        <v>24</v>
      </c>
      <c r="E29" s="182">
        <v>10298</v>
      </c>
      <c r="F29" s="175">
        <v>-124822</v>
      </c>
      <c r="G29" s="159">
        <v>10</v>
      </c>
      <c r="H29" s="176" t="s">
        <v>330</v>
      </c>
      <c r="I29" s="159">
        <v>9.57</v>
      </c>
      <c r="J29" s="138">
        <v>7.37</v>
      </c>
      <c r="K29" s="159"/>
      <c r="L29" s="150">
        <v>0.01</v>
      </c>
      <c r="M29" s="151">
        <v>-0.24</v>
      </c>
      <c r="N29" s="159"/>
      <c r="O29" s="150">
        <v>0.02</v>
      </c>
      <c r="P29" s="151">
        <v>-0.32</v>
      </c>
      <c r="Q29" s="159"/>
      <c r="R29" s="137" t="s">
        <v>608</v>
      </c>
      <c r="S29" s="159" t="s">
        <v>609</v>
      </c>
      <c r="T29" s="177">
        <v>339834</v>
      </c>
      <c r="U29" s="159"/>
      <c r="V29" s="172">
        <v>19</v>
      </c>
      <c r="W29" s="172">
        <v>20</v>
      </c>
      <c r="X29" s="173" t="s">
        <v>603</v>
      </c>
      <c r="Y29" s="173" t="s">
        <v>677</v>
      </c>
      <c r="Z29" s="172" t="s">
        <v>678</v>
      </c>
      <c r="AA29" s="172" t="s">
        <v>679</v>
      </c>
      <c r="AB29" s="172" t="s">
        <v>666</v>
      </c>
      <c r="AC29" s="172">
        <v>0</v>
      </c>
    </row>
    <row r="30" spans="2:29">
      <c r="B30" s="159"/>
      <c r="C30" s="160" t="s">
        <v>30</v>
      </c>
      <c r="D30" s="159">
        <v>25</v>
      </c>
      <c r="E30" s="182">
        <v>10235</v>
      </c>
      <c r="F30" s="175">
        <v>-122665</v>
      </c>
      <c r="G30" s="159">
        <v>0</v>
      </c>
      <c r="H30" s="176" t="s">
        <v>330</v>
      </c>
      <c r="I30" s="159">
        <v>0</v>
      </c>
      <c r="J30" s="138">
        <v>0</v>
      </c>
      <c r="K30" s="159"/>
      <c r="L30" s="150">
        <v>0.01</v>
      </c>
      <c r="M30" s="151">
        <v>-0.24</v>
      </c>
      <c r="N30" s="159"/>
      <c r="O30" s="150">
        <v>0.01</v>
      </c>
      <c r="P30" s="151">
        <v>-0.32</v>
      </c>
      <c r="Q30" s="159"/>
      <c r="R30" s="137" t="s">
        <v>608</v>
      </c>
      <c r="S30" s="159" t="s">
        <v>609</v>
      </c>
      <c r="T30" s="177">
        <v>337755</v>
      </c>
      <c r="U30" s="159"/>
      <c r="V30" s="172">
        <v>10</v>
      </c>
      <c r="W30" s="172">
        <v>20</v>
      </c>
      <c r="X30" s="172" t="s">
        <v>680</v>
      </c>
      <c r="Y30" s="172" t="s">
        <v>681</v>
      </c>
      <c r="Z30" s="173" t="s">
        <v>682</v>
      </c>
      <c r="AA30" s="173" t="s">
        <v>683</v>
      </c>
      <c r="AB30" s="172" t="s">
        <v>684</v>
      </c>
      <c r="AC30" s="172" t="s">
        <v>656</v>
      </c>
    </row>
    <row r="31" spans="2:29">
      <c r="B31" s="159"/>
      <c r="C31" s="160" t="s">
        <v>30</v>
      </c>
      <c r="D31" s="159">
        <v>26</v>
      </c>
      <c r="E31" s="182">
        <v>10042</v>
      </c>
      <c r="F31" s="175">
        <v>-127233</v>
      </c>
      <c r="G31" s="159">
        <v>0</v>
      </c>
      <c r="H31" s="176" t="s">
        <v>330</v>
      </c>
      <c r="I31" s="159">
        <v>3.85</v>
      </c>
      <c r="J31" s="138">
        <v>2.5299999999999998</v>
      </c>
      <c r="K31" s="159"/>
      <c r="L31" s="150">
        <v>0</v>
      </c>
      <c r="M31" s="151">
        <v>-0.23</v>
      </c>
      <c r="N31" s="159"/>
      <c r="O31" s="150">
        <v>0.01</v>
      </c>
      <c r="P31" s="151">
        <v>-0.31</v>
      </c>
      <c r="Q31" s="159"/>
      <c r="R31" s="137" t="s">
        <v>608</v>
      </c>
      <c r="S31" s="159" t="s">
        <v>609</v>
      </c>
      <c r="T31" s="177">
        <v>331386</v>
      </c>
      <c r="U31" s="159"/>
      <c r="V31" s="172">
        <v>10</v>
      </c>
      <c r="W31" s="172">
        <v>17</v>
      </c>
      <c r="X31" s="172" t="s">
        <v>685</v>
      </c>
      <c r="Y31" s="172" t="s">
        <v>686</v>
      </c>
      <c r="Z31" s="173" t="s">
        <v>687</v>
      </c>
      <c r="AA31" s="172">
        <v>-4</v>
      </c>
      <c r="AB31" s="172" t="s">
        <v>688</v>
      </c>
      <c r="AC31" s="172" t="s">
        <v>689</v>
      </c>
    </row>
    <row r="32" spans="2:29">
      <c r="B32" s="159"/>
      <c r="C32" s="160" t="s">
        <v>30</v>
      </c>
      <c r="D32" s="159">
        <v>27</v>
      </c>
      <c r="E32" s="182">
        <v>10291</v>
      </c>
      <c r="F32" s="175">
        <v>-118527</v>
      </c>
      <c r="G32" s="159">
        <v>0</v>
      </c>
      <c r="H32" s="176" t="s">
        <v>330</v>
      </c>
      <c r="I32" s="159">
        <v>0</v>
      </c>
      <c r="J32" s="138">
        <v>0</v>
      </c>
      <c r="K32" s="159"/>
      <c r="L32" s="150">
        <v>0.01</v>
      </c>
      <c r="M32" s="151">
        <v>-0.24</v>
      </c>
      <c r="N32" s="159"/>
      <c r="O32" s="150">
        <v>0.01</v>
      </c>
      <c r="P32" s="151">
        <v>-0.32</v>
      </c>
      <c r="Q32" s="159"/>
      <c r="R32" s="137" t="s">
        <v>608</v>
      </c>
      <c r="S32" s="159" t="s">
        <v>609</v>
      </c>
      <c r="T32" s="177">
        <v>339603</v>
      </c>
      <c r="U32" s="159"/>
      <c r="V32" s="172">
        <v>10</v>
      </c>
      <c r="W32" s="172">
        <v>21</v>
      </c>
      <c r="X32" s="172" t="s">
        <v>690</v>
      </c>
      <c r="Y32" s="172" t="s">
        <v>691</v>
      </c>
      <c r="Z32" s="173" t="s">
        <v>692</v>
      </c>
      <c r="AA32" s="173" t="s">
        <v>693</v>
      </c>
      <c r="AB32" s="172" t="s">
        <v>694</v>
      </c>
      <c r="AC32" s="172" t="s">
        <v>695</v>
      </c>
    </row>
    <row r="33" spans="2:29">
      <c r="B33" s="159"/>
      <c r="C33" s="160" t="s">
        <v>30</v>
      </c>
      <c r="D33" s="159">
        <v>28</v>
      </c>
      <c r="E33" s="182">
        <v>10109</v>
      </c>
      <c r="F33" s="175">
        <v>-100936</v>
      </c>
      <c r="G33" s="159">
        <v>0</v>
      </c>
      <c r="H33" s="176" t="s">
        <v>330</v>
      </c>
      <c r="I33" s="159">
        <v>0</v>
      </c>
      <c r="J33" s="138">
        <v>0</v>
      </c>
      <c r="K33" s="159"/>
      <c r="L33" s="150">
        <v>0</v>
      </c>
      <c r="M33" s="151">
        <v>-0.14000000000000001</v>
      </c>
      <c r="N33" s="159"/>
      <c r="O33" s="150">
        <v>0.01</v>
      </c>
      <c r="P33" s="151">
        <v>-0.23</v>
      </c>
      <c r="Q33" s="159"/>
      <c r="R33" s="137" t="s">
        <v>549</v>
      </c>
      <c r="S33" s="159" t="s">
        <v>550</v>
      </c>
      <c r="T33" s="177">
        <v>1334388</v>
      </c>
      <c r="U33" s="159"/>
      <c r="V33" s="172">
        <v>10</v>
      </c>
      <c r="W33" s="172">
        <v>22</v>
      </c>
      <c r="X33" s="172" t="s">
        <v>696</v>
      </c>
      <c r="Y33" s="172" t="s">
        <v>697</v>
      </c>
      <c r="Z33" s="173" t="s">
        <v>698</v>
      </c>
      <c r="AA33" s="173" t="s">
        <v>699</v>
      </c>
      <c r="AB33" s="172" t="s">
        <v>700</v>
      </c>
      <c r="AC33" s="172" t="s">
        <v>701</v>
      </c>
    </row>
    <row r="34" spans="2:29">
      <c r="B34" s="159"/>
      <c r="C34" s="160" t="s">
        <v>30</v>
      </c>
      <c r="D34" s="159">
        <v>29</v>
      </c>
      <c r="E34" s="182">
        <v>10171</v>
      </c>
      <c r="F34" s="175">
        <v>-122498</v>
      </c>
      <c r="G34" s="159">
        <v>0</v>
      </c>
      <c r="H34" s="176" t="s">
        <v>330</v>
      </c>
      <c r="I34" s="159">
        <v>2.64</v>
      </c>
      <c r="J34" s="138">
        <v>0.99</v>
      </c>
      <c r="K34" s="159"/>
      <c r="L34" s="150">
        <v>0.01</v>
      </c>
      <c r="M34" s="151">
        <v>-0.27</v>
      </c>
      <c r="N34" s="159"/>
      <c r="O34" s="150">
        <v>0.02</v>
      </c>
      <c r="P34" s="151">
        <v>-0.35</v>
      </c>
      <c r="Q34" s="159"/>
      <c r="R34" s="137" t="s">
        <v>608</v>
      </c>
      <c r="S34" s="159" t="s">
        <v>609</v>
      </c>
      <c r="T34" s="177">
        <v>335643</v>
      </c>
      <c r="U34" s="159"/>
      <c r="V34" s="172">
        <v>21</v>
      </c>
      <c r="W34" s="172">
        <v>22</v>
      </c>
      <c r="X34" s="173" t="s">
        <v>702</v>
      </c>
      <c r="Y34" s="173" t="s">
        <v>703</v>
      </c>
      <c r="Z34" s="172" t="s">
        <v>704</v>
      </c>
      <c r="AA34" s="172" t="s">
        <v>705</v>
      </c>
      <c r="AB34" s="172" t="s">
        <v>706</v>
      </c>
      <c r="AC34" s="172">
        <v>0</v>
      </c>
    </row>
    <row r="35" spans="2:29">
      <c r="B35" s="159"/>
      <c r="C35" s="164" t="s">
        <v>30</v>
      </c>
      <c r="D35" s="163">
        <v>30</v>
      </c>
      <c r="E35" s="183">
        <v>10147</v>
      </c>
      <c r="F35" s="178">
        <v>-121569</v>
      </c>
      <c r="G35" s="163">
        <v>10</v>
      </c>
      <c r="H35" s="179" t="s">
        <v>330</v>
      </c>
      <c r="I35" s="163">
        <v>11.66</v>
      </c>
      <c r="J35" s="141">
        <v>2.09</v>
      </c>
      <c r="K35" s="159"/>
      <c r="L35" s="152">
        <v>0.02</v>
      </c>
      <c r="M35" s="153">
        <v>-0.31</v>
      </c>
      <c r="N35" s="159"/>
      <c r="O35" s="152">
        <v>0.03</v>
      </c>
      <c r="P35" s="153">
        <v>-0.38</v>
      </c>
      <c r="Q35" s="159"/>
      <c r="R35" s="140" t="s">
        <v>608</v>
      </c>
      <c r="S35" s="163" t="s">
        <v>609</v>
      </c>
      <c r="T35" s="180">
        <v>334851</v>
      </c>
      <c r="U35" s="159"/>
      <c r="V35" s="172">
        <v>15</v>
      </c>
      <c r="W35" s="172">
        <v>23</v>
      </c>
      <c r="X35" s="173" t="s">
        <v>707</v>
      </c>
      <c r="Y35" s="172" t="s">
        <v>708</v>
      </c>
      <c r="Z35" s="172" t="s">
        <v>709</v>
      </c>
      <c r="AA35" s="173" t="s">
        <v>710</v>
      </c>
      <c r="AB35" s="172" t="s">
        <v>711</v>
      </c>
      <c r="AC35" s="172" t="s">
        <v>684</v>
      </c>
    </row>
    <row r="36" spans="2:29"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72">
        <v>22</v>
      </c>
      <c r="W36" s="172">
        <v>24</v>
      </c>
      <c r="X36" s="173" t="s">
        <v>712</v>
      </c>
      <c r="Y36" s="172" t="s">
        <v>713</v>
      </c>
      <c r="Z36" s="172" t="s">
        <v>714</v>
      </c>
      <c r="AA36" s="173" t="s">
        <v>715</v>
      </c>
      <c r="AB36" s="172" t="s">
        <v>700</v>
      </c>
      <c r="AC36" s="172" t="s">
        <v>716</v>
      </c>
    </row>
    <row r="37" spans="2:29"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72">
        <v>23</v>
      </c>
      <c r="W37" s="172">
        <v>24</v>
      </c>
      <c r="X37" s="173" t="s">
        <v>717</v>
      </c>
      <c r="Y37" s="172" t="s">
        <v>718</v>
      </c>
      <c r="Z37" s="172" t="s">
        <v>719</v>
      </c>
      <c r="AA37" s="173" t="s">
        <v>720</v>
      </c>
      <c r="AB37" s="172" t="s">
        <v>721</v>
      </c>
      <c r="AC37" s="172" t="s">
        <v>701</v>
      </c>
    </row>
    <row r="38" spans="2:29"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72">
        <v>24</v>
      </c>
      <c r="W38" s="172">
        <v>25</v>
      </c>
      <c r="X38" s="173" t="s">
        <v>722</v>
      </c>
      <c r="Y38" s="172" t="s">
        <v>723</v>
      </c>
      <c r="Z38" s="172" t="s">
        <v>724</v>
      </c>
      <c r="AA38" s="173" t="s">
        <v>725</v>
      </c>
      <c r="AB38" s="172" t="s">
        <v>644</v>
      </c>
      <c r="AC38" s="172" t="s">
        <v>695</v>
      </c>
    </row>
    <row r="39" spans="2:29"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72">
        <v>25</v>
      </c>
      <c r="W39" s="172">
        <v>26</v>
      </c>
      <c r="X39" s="172" t="s">
        <v>726</v>
      </c>
      <c r="Y39" s="172" t="s">
        <v>727</v>
      </c>
      <c r="Z39" s="173" t="s">
        <v>728</v>
      </c>
      <c r="AA39" s="173" t="s">
        <v>729</v>
      </c>
      <c r="AB39" s="172" t="s">
        <v>730</v>
      </c>
      <c r="AC39" s="172" t="s">
        <v>731</v>
      </c>
    </row>
    <row r="40" spans="2:29"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72">
        <v>25</v>
      </c>
      <c r="W40" s="172">
        <v>27</v>
      </c>
      <c r="X40" s="173" t="s">
        <v>732</v>
      </c>
      <c r="Y40" s="172" t="s">
        <v>575</v>
      </c>
      <c r="Z40" s="172" t="s">
        <v>733</v>
      </c>
      <c r="AA40" s="173" t="s">
        <v>734</v>
      </c>
      <c r="AB40" s="172" t="s">
        <v>735</v>
      </c>
      <c r="AC40" s="172" t="s">
        <v>736</v>
      </c>
    </row>
    <row r="41" spans="2:29"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72">
        <v>28</v>
      </c>
      <c r="W41" s="172">
        <v>27</v>
      </c>
      <c r="X41" s="172" t="s">
        <v>737</v>
      </c>
      <c r="Y41" s="172" t="s">
        <v>738</v>
      </c>
      <c r="Z41" s="173" t="s">
        <v>739</v>
      </c>
      <c r="AA41" s="173" t="s">
        <v>673</v>
      </c>
      <c r="AB41" s="172">
        <v>0</v>
      </c>
      <c r="AC41" s="172" t="s">
        <v>684</v>
      </c>
    </row>
    <row r="42" spans="2:29"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72">
        <v>27</v>
      </c>
      <c r="W42" s="172">
        <v>29</v>
      </c>
      <c r="X42" s="173" t="s">
        <v>740</v>
      </c>
      <c r="Y42" s="172" t="s">
        <v>741</v>
      </c>
      <c r="Z42" s="172" t="s">
        <v>742</v>
      </c>
      <c r="AA42" s="173" t="s">
        <v>743</v>
      </c>
      <c r="AB42" s="172" t="s">
        <v>744</v>
      </c>
      <c r="AC42" s="172" t="s">
        <v>736</v>
      </c>
    </row>
    <row r="43" spans="2:29"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72">
        <v>27</v>
      </c>
      <c r="W43" s="172">
        <v>30</v>
      </c>
      <c r="X43" s="173" t="s">
        <v>745</v>
      </c>
      <c r="Y43" s="172" t="s">
        <v>746</v>
      </c>
      <c r="Z43" s="172" t="s">
        <v>747</v>
      </c>
      <c r="AA43" s="173" t="s">
        <v>748</v>
      </c>
      <c r="AB43" s="172" t="s">
        <v>749</v>
      </c>
      <c r="AC43" s="172" t="s">
        <v>716</v>
      </c>
    </row>
    <row r="44" spans="2:29"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72">
        <v>29</v>
      </c>
      <c r="W44" s="172">
        <v>30</v>
      </c>
      <c r="X44" s="172" t="s">
        <v>750</v>
      </c>
      <c r="Y44" s="172" t="s">
        <v>751</v>
      </c>
      <c r="Z44" s="173" t="s">
        <v>752</v>
      </c>
      <c r="AA44" s="173" t="s">
        <v>753</v>
      </c>
      <c r="AB44" s="172" t="s">
        <v>754</v>
      </c>
      <c r="AC44" s="172" t="s">
        <v>684</v>
      </c>
    </row>
    <row r="45" spans="2:29"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72">
        <v>8</v>
      </c>
      <c r="W45" s="172">
        <v>28</v>
      </c>
      <c r="X45" s="173" t="s">
        <v>755</v>
      </c>
      <c r="Y45" s="173" t="s">
        <v>756</v>
      </c>
      <c r="Z45" s="172" t="s">
        <v>757</v>
      </c>
      <c r="AA45" s="172" t="s">
        <v>758</v>
      </c>
      <c r="AB45" s="172" t="s">
        <v>711</v>
      </c>
      <c r="AC45" s="172" t="s">
        <v>716</v>
      </c>
    </row>
    <row r="46" spans="2:29"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72">
        <v>6</v>
      </c>
      <c r="W46" s="172">
        <v>28</v>
      </c>
      <c r="X46" s="172" t="s">
        <v>759</v>
      </c>
      <c r="Y46" s="172" t="s">
        <v>760</v>
      </c>
      <c r="Z46" s="173" t="s">
        <v>761</v>
      </c>
      <c r="AA46" s="173" t="s">
        <v>762</v>
      </c>
      <c r="AB46" s="172" t="s">
        <v>661</v>
      </c>
      <c r="AC46" s="172" t="s">
        <v>667</v>
      </c>
    </row>
  </sheetData>
  <mergeCells count="5">
    <mergeCell ref="C3:J3"/>
    <mergeCell ref="L3:M4"/>
    <mergeCell ref="O3:P4"/>
    <mergeCell ref="C4:C5"/>
    <mergeCell ref="R4:T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196D-F6D6-4938-A08D-0065813558AF}">
  <dimension ref="A1:T42"/>
  <sheetViews>
    <sheetView topLeftCell="K23" workbookViewId="0">
      <selection activeCell="N1" sqref="N1:N37"/>
    </sheetView>
  </sheetViews>
  <sheetFormatPr baseColWidth="10" defaultColWidth="9.09765625" defaultRowHeight="13.8"/>
  <cols>
    <col min="5" max="5" width="16" customWidth="1"/>
    <col min="6" max="6" width="12.3984375" customWidth="1"/>
    <col min="7" max="7" width="14.3984375" customWidth="1"/>
    <col min="8" max="8" width="12.8984375" customWidth="1"/>
    <col min="9" max="9" width="16" customWidth="1"/>
    <col min="10" max="11" width="15" customWidth="1"/>
    <col min="12" max="12" width="15.8984375" customWidth="1"/>
    <col min="13" max="14" width="13.59765625" customWidth="1"/>
    <col min="15" max="15" width="15.296875" customWidth="1"/>
    <col min="16" max="16" width="12.59765625" customWidth="1"/>
    <col min="17" max="17" width="13.69921875" customWidth="1"/>
    <col min="18" max="18" width="14" customWidth="1"/>
    <col min="19" max="19" width="14.3984375" customWidth="1"/>
    <col min="20" max="20" width="9.8984375" bestFit="1" customWidth="1"/>
  </cols>
  <sheetData>
    <row r="1" spans="1:20" ht="14.4">
      <c r="A1" s="131" t="s">
        <v>292</v>
      </c>
      <c r="B1" s="132" t="s">
        <v>293</v>
      </c>
      <c r="C1" s="99" t="s">
        <v>763</v>
      </c>
      <c r="D1" s="99" t="s">
        <v>764</v>
      </c>
      <c r="E1" s="99" t="s">
        <v>765</v>
      </c>
      <c r="F1" s="99" t="s">
        <v>766</v>
      </c>
      <c r="G1" s="99" t="s">
        <v>767</v>
      </c>
      <c r="H1" s="99" t="s">
        <v>768</v>
      </c>
      <c r="I1" s="125" t="s">
        <v>294</v>
      </c>
      <c r="J1" s="125" t="s">
        <v>295</v>
      </c>
      <c r="K1" s="125" t="s">
        <v>769</v>
      </c>
      <c r="L1" s="125" t="s">
        <v>296</v>
      </c>
      <c r="M1" s="125" t="s">
        <v>297</v>
      </c>
      <c r="N1" s="125" t="s">
        <v>770</v>
      </c>
      <c r="O1" s="125" t="s">
        <v>298</v>
      </c>
      <c r="P1" s="126" t="s">
        <v>299</v>
      </c>
      <c r="Q1" s="99" t="s">
        <v>771</v>
      </c>
      <c r="R1" s="99" t="s">
        <v>772</v>
      </c>
      <c r="S1" s="99" t="s">
        <v>773</v>
      </c>
    </row>
    <row r="2" spans="1:20">
      <c r="A2" s="64">
        <v>1</v>
      </c>
      <c r="B2" s="59">
        <v>2</v>
      </c>
      <c r="C2">
        <v>132</v>
      </c>
      <c r="D2">
        <v>132</v>
      </c>
      <c r="E2" t="b">
        <v>0</v>
      </c>
      <c r="F2" t="s">
        <v>774</v>
      </c>
      <c r="G2">
        <v>1.06</v>
      </c>
      <c r="H2">
        <v>1.64777</v>
      </c>
      <c r="I2" s="59">
        <v>173.30581000000001</v>
      </c>
      <c r="J2" s="59">
        <v>-24.702449999999999</v>
      </c>
      <c r="K2" s="59">
        <f t="shared" ref="K2:K42" si="0">SQRT(I2^2+J2^2)</f>
        <v>175.05746146839502</v>
      </c>
      <c r="L2" s="59">
        <v>-168.09272999999999</v>
      </c>
      <c r="M2" s="59">
        <v>34.465290000000003</v>
      </c>
      <c r="N2" s="59">
        <f t="shared" ref="N2:N42" si="1">SQRT(L2^2+M2^2)</f>
        <v>171.58969110537205</v>
      </c>
      <c r="O2" s="127">
        <v>5.2130000000000001</v>
      </c>
      <c r="P2" s="128">
        <v>15.61</v>
      </c>
      <c r="Q2" s="122">
        <f t="shared" ref="Q2:Q42" si="2">MAX(N2,K2)</f>
        <v>175.05746146839502</v>
      </c>
      <c r="R2">
        <f t="shared" ref="R2:R12" si="3">IF(C2=132,200,30)</f>
        <v>200</v>
      </c>
      <c r="S2" t="str">
        <f t="shared" ref="S2:S42" si="4">IF(T2&gt;0.8,"SOBRECARGA","NORMAL")</f>
        <v>SOBRECARGA</v>
      </c>
      <c r="T2" s="34">
        <f t="shared" ref="T2:T42" si="5">Q2/R2</f>
        <v>0.87528730734197513</v>
      </c>
    </row>
    <row r="3" spans="1:20">
      <c r="A3" s="65">
        <v>1</v>
      </c>
      <c r="B3" s="8">
        <v>3</v>
      </c>
      <c r="C3">
        <v>132</v>
      </c>
      <c r="D3">
        <v>132</v>
      </c>
      <c r="E3" t="b">
        <v>0</v>
      </c>
      <c r="F3" t="s">
        <v>775</v>
      </c>
      <c r="G3">
        <v>1.06</v>
      </c>
      <c r="H3">
        <v>0.82918599999999998</v>
      </c>
      <c r="I3" s="8">
        <v>87.648380000000003</v>
      </c>
      <c r="J3" s="8">
        <v>4.2711399999999999</v>
      </c>
      <c r="K3" s="59">
        <f t="shared" si="0"/>
        <v>87.752385457741269</v>
      </c>
      <c r="L3" s="8">
        <v>-84.540649999999999</v>
      </c>
      <c r="M3" s="8">
        <v>2.66764</v>
      </c>
      <c r="N3" s="59">
        <f t="shared" si="1"/>
        <v>84.58272758425386</v>
      </c>
      <c r="O3" s="129">
        <v>3.1080000000000001</v>
      </c>
      <c r="P3" s="130">
        <v>11.36</v>
      </c>
      <c r="Q3" s="128">
        <f t="shared" si="2"/>
        <v>87.752385457741269</v>
      </c>
      <c r="R3">
        <f t="shared" si="3"/>
        <v>200</v>
      </c>
      <c r="S3" t="str">
        <f t="shared" si="4"/>
        <v>NORMAL</v>
      </c>
      <c r="T3" s="34">
        <f t="shared" si="5"/>
        <v>0.43876192728870633</v>
      </c>
    </row>
    <row r="4" spans="1:20">
      <c r="A4" s="65">
        <v>2</v>
      </c>
      <c r="B4" s="8">
        <v>4</v>
      </c>
      <c r="C4">
        <v>132</v>
      </c>
      <c r="D4">
        <v>132</v>
      </c>
      <c r="E4" t="b">
        <v>0</v>
      </c>
      <c r="F4" t="s">
        <v>776</v>
      </c>
      <c r="G4">
        <v>1.0449999999999999</v>
      </c>
      <c r="H4">
        <v>0.422709</v>
      </c>
      <c r="I4" s="8">
        <v>43.652859999999997</v>
      </c>
      <c r="J4" s="8">
        <v>4.7497800000000003</v>
      </c>
      <c r="K4" s="59">
        <f t="shared" si="0"/>
        <v>43.910506672412694</v>
      </c>
      <c r="L4" s="8">
        <v>-42.634369999999997</v>
      </c>
      <c r="M4" s="8">
        <v>-5.54094</v>
      </c>
      <c r="N4" s="59">
        <f t="shared" si="1"/>
        <v>42.992924085022409</v>
      </c>
      <c r="O4" s="129">
        <v>1.018</v>
      </c>
      <c r="P4" s="130">
        <v>3.1</v>
      </c>
      <c r="Q4" s="128">
        <f t="shared" si="2"/>
        <v>43.910506672412694</v>
      </c>
      <c r="R4">
        <f t="shared" si="3"/>
        <v>200</v>
      </c>
      <c r="S4" t="str">
        <f t="shared" si="4"/>
        <v>NORMAL</v>
      </c>
      <c r="T4" s="34">
        <f t="shared" si="5"/>
        <v>0.21955253336206348</v>
      </c>
    </row>
    <row r="5" spans="1:20">
      <c r="A5" s="65">
        <v>2</v>
      </c>
      <c r="B5" s="8">
        <v>5</v>
      </c>
      <c r="C5">
        <v>132</v>
      </c>
      <c r="D5">
        <v>132</v>
      </c>
      <c r="E5" t="b">
        <v>0</v>
      </c>
      <c r="F5" t="s">
        <v>777</v>
      </c>
      <c r="G5">
        <v>1.0449999999999999</v>
      </c>
      <c r="H5">
        <v>4.0106859999999998</v>
      </c>
      <c r="I5" s="8">
        <v>82.361999999999995</v>
      </c>
      <c r="J5" s="8">
        <v>2.7816000000000001</v>
      </c>
      <c r="K5" s="59">
        <f t="shared" si="0"/>
        <v>82.408957902402818</v>
      </c>
      <c r="L5" s="8">
        <v>-79.41892</v>
      </c>
      <c r="M5" s="8">
        <v>5.16873</v>
      </c>
      <c r="N5" s="59">
        <f t="shared" si="1"/>
        <v>79.586937519792158</v>
      </c>
      <c r="O5" s="129">
        <v>0.85599999999999998</v>
      </c>
      <c r="P5" s="130">
        <v>2.46</v>
      </c>
      <c r="Q5" s="128">
        <f t="shared" si="2"/>
        <v>82.408957902402818</v>
      </c>
      <c r="R5">
        <f t="shared" si="3"/>
        <v>200</v>
      </c>
      <c r="S5" t="str">
        <f t="shared" si="4"/>
        <v>NORMAL</v>
      </c>
      <c r="T5" s="34">
        <f t="shared" si="5"/>
        <v>0.41204478951201406</v>
      </c>
    </row>
    <row r="6" spans="1:20">
      <c r="A6" s="65">
        <v>2</v>
      </c>
      <c r="B6" s="8">
        <v>6</v>
      </c>
      <c r="C6">
        <v>132</v>
      </c>
      <c r="D6">
        <v>132</v>
      </c>
      <c r="E6" t="b">
        <v>0</v>
      </c>
      <c r="F6" t="s">
        <v>778</v>
      </c>
      <c r="G6">
        <v>1.0449999999999999</v>
      </c>
      <c r="H6">
        <v>1.104822</v>
      </c>
      <c r="I6" s="8">
        <v>60.383319999999998</v>
      </c>
      <c r="J6" s="8">
        <v>1.3865000000000001</v>
      </c>
      <c r="K6" s="59">
        <f t="shared" si="0"/>
        <v>60.399236058682064</v>
      </c>
      <c r="L6" s="8">
        <v>-58.437179999999998</v>
      </c>
      <c r="M6" s="8">
        <v>0.56698999999999999</v>
      </c>
      <c r="N6" s="59">
        <f t="shared" si="1"/>
        <v>58.439930561325106</v>
      </c>
      <c r="O6" s="129">
        <v>2.9430000000000001</v>
      </c>
      <c r="P6" s="130">
        <v>12.36</v>
      </c>
      <c r="Q6" s="128">
        <f t="shared" si="2"/>
        <v>60.399236058682064</v>
      </c>
      <c r="R6">
        <f t="shared" si="3"/>
        <v>200</v>
      </c>
      <c r="S6" t="str">
        <f t="shared" si="4"/>
        <v>NORMAL</v>
      </c>
      <c r="T6" s="34">
        <f t="shared" si="5"/>
        <v>0.3019961802934103</v>
      </c>
    </row>
    <row r="7" spans="1:20">
      <c r="A7" s="65">
        <v>3</v>
      </c>
      <c r="B7" s="8">
        <v>4</v>
      </c>
      <c r="C7">
        <v>132</v>
      </c>
      <c r="D7">
        <v>132</v>
      </c>
      <c r="E7" t="b">
        <v>0</v>
      </c>
      <c r="F7" t="s">
        <v>779</v>
      </c>
      <c r="G7">
        <v>1.0449999999999999</v>
      </c>
      <c r="H7">
        <v>4.2339190000000002</v>
      </c>
      <c r="I7" s="8">
        <v>82.159580000000005</v>
      </c>
      <c r="J7" s="8">
        <v>-3.7990599999999999</v>
      </c>
      <c r="K7" s="59">
        <f t="shared" si="0"/>
        <v>82.247367390452084</v>
      </c>
      <c r="L7" s="8">
        <v>-81.303730000000002</v>
      </c>
      <c r="M7" s="8">
        <v>5.3879799999999998</v>
      </c>
      <c r="N7" s="59">
        <f t="shared" si="1"/>
        <v>81.48206453197723</v>
      </c>
      <c r="O7" s="129">
        <v>1.946</v>
      </c>
      <c r="P7" s="130">
        <v>5.9</v>
      </c>
      <c r="Q7" s="128">
        <f t="shared" si="2"/>
        <v>82.247367390452084</v>
      </c>
      <c r="R7">
        <f t="shared" si="3"/>
        <v>200</v>
      </c>
      <c r="S7" t="str">
        <f t="shared" si="4"/>
        <v>NORMAL</v>
      </c>
      <c r="T7" s="34">
        <f t="shared" si="5"/>
        <v>0.41123683695226043</v>
      </c>
    </row>
    <row r="8" spans="1:20">
      <c r="A8" s="65">
        <v>4</v>
      </c>
      <c r="B8" s="8">
        <v>6</v>
      </c>
      <c r="C8">
        <v>132</v>
      </c>
      <c r="D8">
        <v>132</v>
      </c>
      <c r="E8" t="b">
        <v>0</v>
      </c>
      <c r="F8" t="s">
        <v>780</v>
      </c>
      <c r="G8">
        <v>1.0212000000000001</v>
      </c>
      <c r="H8">
        <v>2.6370439999999999</v>
      </c>
      <c r="I8" s="8">
        <v>72.142290000000003</v>
      </c>
      <c r="J8" s="8">
        <v>-15.8544</v>
      </c>
      <c r="K8" s="59">
        <f t="shared" si="0"/>
        <v>73.863874836107129</v>
      </c>
      <c r="L8" s="8">
        <v>-71.510390000000001</v>
      </c>
      <c r="M8" s="8">
        <v>17.132020000000001</v>
      </c>
      <c r="N8" s="59">
        <f t="shared" si="1"/>
        <v>73.533951255406507</v>
      </c>
      <c r="O8" s="129">
        <v>0.63200000000000001</v>
      </c>
      <c r="P8" s="130">
        <v>2.2000000000000002</v>
      </c>
      <c r="Q8" s="128">
        <f t="shared" si="2"/>
        <v>73.863874836107129</v>
      </c>
      <c r="R8">
        <f t="shared" si="3"/>
        <v>200</v>
      </c>
      <c r="S8" t="str">
        <f t="shared" si="4"/>
        <v>NORMAL</v>
      </c>
      <c r="T8" s="34">
        <f t="shared" si="5"/>
        <v>0.36931937418053562</v>
      </c>
    </row>
    <row r="9" spans="1:20">
      <c r="A9" s="65">
        <v>4</v>
      </c>
      <c r="B9" s="8">
        <v>12</v>
      </c>
      <c r="C9">
        <v>132</v>
      </c>
      <c r="D9">
        <v>1</v>
      </c>
      <c r="E9" t="b">
        <v>1</v>
      </c>
      <c r="F9" t="s">
        <v>781</v>
      </c>
      <c r="G9">
        <v>1.0105999999999999</v>
      </c>
      <c r="H9">
        <v>0.334704</v>
      </c>
      <c r="I9" s="8">
        <v>41.186729999999997</v>
      </c>
      <c r="J9" s="8">
        <v>13.445270000000001</v>
      </c>
      <c r="K9" s="59">
        <f t="shared" si="0"/>
        <v>43.325766161324836</v>
      </c>
      <c r="L9" s="8">
        <v>-44.191769999999998</v>
      </c>
      <c r="M9" s="8">
        <v>-9.7368900000000007</v>
      </c>
      <c r="N9" s="59">
        <f t="shared" si="1"/>
        <v>45.251735465117797</v>
      </c>
      <c r="O9" s="129">
        <v>0.16900000000000001</v>
      </c>
      <c r="P9" s="130">
        <v>0.43</v>
      </c>
      <c r="Q9" s="128">
        <f t="shared" si="2"/>
        <v>45.251735465117797</v>
      </c>
      <c r="R9">
        <f t="shared" si="3"/>
        <v>200</v>
      </c>
      <c r="S9" t="str">
        <f t="shared" si="4"/>
        <v>NORMAL</v>
      </c>
      <c r="T9" s="34">
        <f t="shared" si="5"/>
        <v>0.22625867732558899</v>
      </c>
    </row>
    <row r="10" spans="1:20">
      <c r="A10" s="65">
        <v>5</v>
      </c>
      <c r="B10" s="8">
        <v>7</v>
      </c>
      <c r="C10">
        <v>132</v>
      </c>
      <c r="D10">
        <v>33</v>
      </c>
      <c r="E10" t="b">
        <v>1</v>
      </c>
      <c r="F10" t="s">
        <v>782</v>
      </c>
      <c r="G10">
        <v>1.0105999999999999</v>
      </c>
      <c r="H10">
        <v>0.167211</v>
      </c>
      <c r="I10" s="8">
        <v>-14.78331</v>
      </c>
      <c r="J10" s="8">
        <v>11.488429999999999</v>
      </c>
      <c r="K10" s="59">
        <f t="shared" si="0"/>
        <v>18.722453856826569</v>
      </c>
      <c r="L10" s="8">
        <v>14.952640000000001</v>
      </c>
      <c r="M10" s="8">
        <v>-13.127219999999999</v>
      </c>
      <c r="N10" s="59">
        <f t="shared" si="1"/>
        <v>19.897370376459296</v>
      </c>
      <c r="O10" s="129">
        <v>0.38100000000000001</v>
      </c>
      <c r="P10" s="130">
        <v>1.17</v>
      </c>
      <c r="Q10" s="128">
        <f t="shared" si="2"/>
        <v>19.897370376459296</v>
      </c>
      <c r="R10">
        <f t="shared" si="3"/>
        <v>200</v>
      </c>
      <c r="S10" t="str">
        <f t="shared" si="4"/>
        <v>NORMAL</v>
      </c>
      <c r="T10" s="34">
        <f t="shared" si="5"/>
        <v>9.9486851882296487E-2</v>
      </c>
    </row>
    <row r="11" spans="1:20">
      <c r="A11" s="65">
        <v>6</v>
      </c>
      <c r="B11" s="8">
        <v>7</v>
      </c>
      <c r="C11">
        <v>132</v>
      </c>
      <c r="D11">
        <v>11</v>
      </c>
      <c r="E11" t="b">
        <v>1</v>
      </c>
      <c r="F11" t="s">
        <v>783</v>
      </c>
      <c r="G11">
        <v>1.0510999999999999</v>
      </c>
      <c r="H11">
        <v>0.148558</v>
      </c>
      <c r="I11" s="8">
        <v>38.120939999999997</v>
      </c>
      <c r="J11" s="8">
        <v>-2.8132600000000001</v>
      </c>
      <c r="K11" s="59">
        <f t="shared" si="0"/>
        <v>38.224605927480795</v>
      </c>
      <c r="L11" s="8">
        <v>-37.74004</v>
      </c>
      <c r="M11" s="8">
        <v>2.2605200000000001</v>
      </c>
      <c r="N11" s="59">
        <f t="shared" si="1"/>
        <v>37.807678715731811</v>
      </c>
      <c r="O11" s="129">
        <v>0.108</v>
      </c>
      <c r="P11" s="130">
        <v>0.38</v>
      </c>
      <c r="Q11" s="128">
        <f t="shared" si="2"/>
        <v>38.224605927480795</v>
      </c>
      <c r="R11">
        <f t="shared" si="3"/>
        <v>200</v>
      </c>
      <c r="S11" t="str">
        <f t="shared" si="4"/>
        <v>NORMAL</v>
      </c>
      <c r="T11" s="34">
        <f t="shared" si="5"/>
        <v>0.19112302963740396</v>
      </c>
    </row>
    <row r="12" spans="1:20">
      <c r="A12" s="65">
        <v>6</v>
      </c>
      <c r="B12" s="8">
        <v>8</v>
      </c>
      <c r="C12">
        <v>132</v>
      </c>
      <c r="D12">
        <v>33</v>
      </c>
      <c r="E12" t="b">
        <v>1</v>
      </c>
      <c r="F12" t="s">
        <v>784</v>
      </c>
      <c r="G12">
        <v>1.0510999999999999</v>
      </c>
      <c r="H12">
        <v>0.26950400000000002</v>
      </c>
      <c r="I12" s="8">
        <v>29.547429999999999</v>
      </c>
      <c r="J12" s="8">
        <v>-7.2539899999999999</v>
      </c>
      <c r="K12" s="59">
        <f t="shared" si="0"/>
        <v>30.424841668035018</v>
      </c>
      <c r="L12" s="8">
        <v>-29.439430000000002</v>
      </c>
      <c r="M12" s="8">
        <v>6.7133700000000003</v>
      </c>
      <c r="N12" s="59">
        <f t="shared" si="1"/>
        <v>30.195187952417189</v>
      </c>
      <c r="O12" s="129">
        <v>0</v>
      </c>
      <c r="P12" s="130">
        <v>1.62</v>
      </c>
      <c r="Q12" s="128">
        <f t="shared" si="2"/>
        <v>30.424841668035018</v>
      </c>
      <c r="R12">
        <f t="shared" si="3"/>
        <v>200</v>
      </c>
      <c r="S12" t="str">
        <f t="shared" si="4"/>
        <v>NORMAL</v>
      </c>
      <c r="T12" s="34">
        <f t="shared" si="5"/>
        <v>0.15212420834017509</v>
      </c>
    </row>
    <row r="13" spans="1:20">
      <c r="A13" s="65">
        <v>6</v>
      </c>
      <c r="B13" s="8">
        <v>9</v>
      </c>
      <c r="C13" t="s">
        <v>104</v>
      </c>
      <c r="D13">
        <v>33</v>
      </c>
      <c r="E13" t="b">
        <v>1</v>
      </c>
      <c r="F13" t="s">
        <v>785</v>
      </c>
      <c r="G13">
        <v>1.0123</v>
      </c>
      <c r="H13">
        <v>0.46741899999999997</v>
      </c>
      <c r="I13" s="8">
        <v>27.11035</v>
      </c>
      <c r="J13" s="8">
        <v>-7.9121199999999998</v>
      </c>
      <c r="K13" s="59">
        <f t="shared" si="0"/>
        <v>28.24132999730891</v>
      </c>
      <c r="L13" s="8">
        <v>-27.720189999999999</v>
      </c>
      <c r="M13" s="8">
        <v>9.7144300000000001</v>
      </c>
      <c r="N13" s="59">
        <f t="shared" si="1"/>
        <v>29.373101366062794</v>
      </c>
      <c r="O13" s="129">
        <v>0</v>
      </c>
      <c r="P13" s="130">
        <v>1.28</v>
      </c>
      <c r="Q13" s="128">
        <f t="shared" si="2"/>
        <v>29.373101366062794</v>
      </c>
      <c r="R13">
        <v>35</v>
      </c>
      <c r="S13" t="str">
        <f t="shared" si="4"/>
        <v>SOBRECARGA</v>
      </c>
      <c r="T13" s="34">
        <f t="shared" si="5"/>
        <v>0.83923146760179412</v>
      </c>
    </row>
    <row r="14" spans="1:20">
      <c r="A14" s="65">
        <v>6</v>
      </c>
      <c r="B14" s="8">
        <v>10</v>
      </c>
      <c r="C14" t="s">
        <v>104</v>
      </c>
      <c r="D14">
        <v>11</v>
      </c>
      <c r="E14" t="b">
        <v>1</v>
      </c>
      <c r="F14" t="s">
        <v>786</v>
      </c>
      <c r="G14">
        <v>1.0572999999999999</v>
      </c>
      <c r="H14">
        <v>9.7857E-2</v>
      </c>
      <c r="I14" s="8">
        <v>15.348710000000001</v>
      </c>
      <c r="J14" s="8">
        <v>0.17212</v>
      </c>
      <c r="K14" s="59">
        <f t="shared" si="0"/>
        <v>15.349675044068523</v>
      </c>
      <c r="L14" s="8">
        <v>-15.83975</v>
      </c>
      <c r="M14" s="8">
        <v>1.10504</v>
      </c>
      <c r="N14" s="59">
        <f t="shared" si="1"/>
        <v>15.878249067957714</v>
      </c>
      <c r="O14" s="129">
        <v>0</v>
      </c>
      <c r="P14" s="130">
        <v>0.46</v>
      </c>
      <c r="Q14" s="128">
        <f t="shared" si="2"/>
        <v>15.878249067957714</v>
      </c>
      <c r="R14">
        <v>35</v>
      </c>
      <c r="S14" t="str">
        <f t="shared" si="4"/>
        <v>NORMAL</v>
      </c>
      <c r="T14" s="34">
        <f t="shared" si="5"/>
        <v>0.45366425908450614</v>
      </c>
    </row>
    <row r="15" spans="1:20">
      <c r="A15" s="65">
        <v>6</v>
      </c>
      <c r="B15" s="8">
        <v>28</v>
      </c>
      <c r="C15">
        <v>132</v>
      </c>
      <c r="D15">
        <v>33</v>
      </c>
      <c r="E15" t="b">
        <v>0</v>
      </c>
      <c r="F15" t="s">
        <v>787</v>
      </c>
      <c r="G15">
        <v>1.0572999999999999</v>
      </c>
      <c r="H15">
        <v>0.177817</v>
      </c>
      <c r="I15" s="8">
        <v>18.662849999999999</v>
      </c>
      <c r="J15" s="8">
        <v>7.5899999999999995E-2</v>
      </c>
      <c r="K15" s="59">
        <f t="shared" si="0"/>
        <v>18.663004338329344</v>
      </c>
      <c r="L15" s="8">
        <v>-18.605119999999999</v>
      </c>
      <c r="M15" s="8">
        <v>-1.19441</v>
      </c>
      <c r="N15" s="59">
        <f t="shared" si="1"/>
        <v>18.643419897178198</v>
      </c>
      <c r="O15" s="129">
        <v>0</v>
      </c>
      <c r="P15" s="130">
        <v>0.8</v>
      </c>
      <c r="Q15" s="128">
        <f t="shared" si="2"/>
        <v>18.663004338329344</v>
      </c>
      <c r="R15">
        <f>IF(C15=132,200,30)</f>
        <v>200</v>
      </c>
      <c r="S15" t="str">
        <f t="shared" si="4"/>
        <v>NORMAL</v>
      </c>
      <c r="T15" s="34">
        <f t="shared" si="5"/>
        <v>9.3315021691646724E-2</v>
      </c>
    </row>
    <row r="16" spans="1:20">
      <c r="A16" s="65">
        <v>8</v>
      </c>
      <c r="B16" s="8">
        <v>28</v>
      </c>
      <c r="C16">
        <v>132</v>
      </c>
      <c r="D16">
        <v>33</v>
      </c>
      <c r="E16" t="b">
        <v>0</v>
      </c>
      <c r="F16" t="s">
        <v>788</v>
      </c>
      <c r="G16">
        <v>1.0572999999999999</v>
      </c>
      <c r="H16">
        <v>0.26570300000000002</v>
      </c>
      <c r="I16" s="8">
        <v>-0.54490000000000005</v>
      </c>
      <c r="J16" s="8">
        <v>-0.54412000000000005</v>
      </c>
      <c r="K16" s="59">
        <f t="shared" si="0"/>
        <v>0.77005362436651126</v>
      </c>
      <c r="L16" s="8">
        <v>0.54676000000000002</v>
      </c>
      <c r="M16" s="8">
        <v>-3.8035399999999999</v>
      </c>
      <c r="N16" s="59">
        <f t="shared" si="1"/>
        <v>3.8426375094718468</v>
      </c>
      <c r="O16" s="129">
        <v>0</v>
      </c>
      <c r="P16" s="130">
        <v>4.6900000000000004</v>
      </c>
      <c r="Q16" s="128">
        <f t="shared" si="2"/>
        <v>3.8426375094718468</v>
      </c>
      <c r="R16">
        <f>IF(C16=132,200,30)</f>
        <v>200</v>
      </c>
      <c r="S16" t="str">
        <f t="shared" si="4"/>
        <v>NORMAL</v>
      </c>
      <c r="T16" s="34">
        <f t="shared" si="5"/>
        <v>1.9213187547359234E-2</v>
      </c>
    </row>
    <row r="17" spans="1:20">
      <c r="A17" s="65">
        <v>9</v>
      </c>
      <c r="B17" s="8">
        <v>10</v>
      </c>
      <c r="C17">
        <v>1</v>
      </c>
      <c r="D17">
        <v>33</v>
      </c>
      <c r="E17" t="b">
        <v>0</v>
      </c>
      <c r="F17" t="s">
        <v>789</v>
      </c>
      <c r="G17">
        <v>1.0446</v>
      </c>
      <c r="H17">
        <v>3.7678000000000003E-2</v>
      </c>
      <c r="I17" s="8">
        <v>27.720890000000001</v>
      </c>
      <c r="J17" s="8">
        <v>5.8313199999999998</v>
      </c>
      <c r="K17" s="59">
        <f t="shared" si="0"/>
        <v>28.32758435402673</v>
      </c>
      <c r="L17" s="8">
        <v>-27.720890000000001</v>
      </c>
      <c r="M17" s="8">
        <v>-5.0323599999999997</v>
      </c>
      <c r="N17" s="59">
        <f t="shared" si="1"/>
        <v>28.173966521625953</v>
      </c>
      <c r="O17" s="129">
        <v>0</v>
      </c>
      <c r="P17" s="130">
        <v>0.13</v>
      </c>
      <c r="Q17" s="128">
        <f t="shared" si="2"/>
        <v>28.32758435402673</v>
      </c>
      <c r="R17">
        <v>35</v>
      </c>
      <c r="S17" t="str">
        <f t="shared" si="4"/>
        <v>SOBRECARGA</v>
      </c>
      <c r="T17" s="34">
        <f t="shared" si="5"/>
        <v>0.80935955297219231</v>
      </c>
    </row>
    <row r="18" spans="1:20">
      <c r="A18" s="65">
        <v>9</v>
      </c>
      <c r="B18" s="8">
        <v>11</v>
      </c>
      <c r="C18">
        <v>1</v>
      </c>
      <c r="D18">
        <v>33</v>
      </c>
      <c r="E18" t="b">
        <v>0</v>
      </c>
      <c r="F18" t="s">
        <v>790</v>
      </c>
      <c r="G18">
        <v>1.0379</v>
      </c>
      <c r="H18">
        <v>5.9915999999999997E-2</v>
      </c>
      <c r="I18" s="8">
        <v>0</v>
      </c>
      <c r="J18" s="8">
        <v>-15.6149</v>
      </c>
      <c r="K18" s="59">
        <f t="shared" si="0"/>
        <v>15.6149</v>
      </c>
      <c r="L18" s="8">
        <v>0</v>
      </c>
      <c r="M18" s="8">
        <v>16.07394</v>
      </c>
      <c r="N18" s="59">
        <f t="shared" si="1"/>
        <v>16.07394</v>
      </c>
      <c r="O18" s="129">
        <v>7.3999999999999996E-2</v>
      </c>
      <c r="P18" s="130">
        <v>0.15</v>
      </c>
      <c r="Q18" s="128">
        <f t="shared" si="2"/>
        <v>16.07394</v>
      </c>
      <c r="R18">
        <f t="shared" ref="R18:R42" si="6">IF(C18=132,200,30)</f>
        <v>30</v>
      </c>
      <c r="S18" t="str">
        <f t="shared" si="4"/>
        <v>NORMAL</v>
      </c>
      <c r="T18" s="34">
        <f t="shared" si="5"/>
        <v>0.535798</v>
      </c>
    </row>
    <row r="19" spans="1:20">
      <c r="A19" s="65">
        <v>10</v>
      </c>
      <c r="B19" s="8">
        <v>17</v>
      </c>
      <c r="C19">
        <v>33</v>
      </c>
      <c r="D19">
        <v>33</v>
      </c>
      <c r="E19" t="b">
        <v>0</v>
      </c>
      <c r="F19" t="s">
        <v>791</v>
      </c>
      <c r="G19">
        <v>1.0284</v>
      </c>
      <c r="H19">
        <v>2.7685000000000001E-2</v>
      </c>
      <c r="I19" s="8">
        <v>5.3185900000000004</v>
      </c>
      <c r="J19" s="8">
        <v>4.3990400000000003</v>
      </c>
      <c r="K19" s="59">
        <f t="shared" si="0"/>
        <v>6.9020976890869923</v>
      </c>
      <c r="L19" s="8">
        <v>-5.3044700000000002</v>
      </c>
      <c r="M19" s="8">
        <v>-4.3621999999999996</v>
      </c>
      <c r="N19" s="59">
        <f t="shared" si="1"/>
        <v>6.8677646160086177</v>
      </c>
      <c r="O19" s="129">
        <v>0.217</v>
      </c>
      <c r="P19" s="130">
        <v>0.43</v>
      </c>
      <c r="Q19" s="128">
        <f t="shared" si="2"/>
        <v>6.9020976890869923</v>
      </c>
      <c r="R19">
        <f t="shared" si="6"/>
        <v>30</v>
      </c>
      <c r="S19" t="str">
        <f t="shared" si="4"/>
        <v>NORMAL</v>
      </c>
      <c r="T19" s="34">
        <f t="shared" si="5"/>
        <v>0.23006992296956641</v>
      </c>
    </row>
    <row r="20" spans="1:20">
      <c r="A20" s="65">
        <v>10</v>
      </c>
      <c r="B20" s="8">
        <v>20</v>
      </c>
      <c r="C20">
        <v>33</v>
      </c>
      <c r="D20">
        <v>33</v>
      </c>
      <c r="E20" t="b">
        <v>0</v>
      </c>
      <c r="F20" t="s">
        <v>792</v>
      </c>
      <c r="G20">
        <v>1.0259</v>
      </c>
      <c r="H20">
        <v>7.1124000000000007E-2</v>
      </c>
      <c r="I20" s="8">
        <v>9.0269200000000005</v>
      </c>
      <c r="J20" s="8">
        <v>3.7128999999999999</v>
      </c>
      <c r="K20" s="59">
        <f t="shared" si="0"/>
        <v>9.7606818971012466</v>
      </c>
      <c r="L20" s="8">
        <v>-8.9453200000000006</v>
      </c>
      <c r="M20" s="8">
        <v>-3.53071</v>
      </c>
      <c r="N20" s="59">
        <f t="shared" si="1"/>
        <v>9.6168946654572451</v>
      </c>
      <c r="O20" s="129">
        <v>5.3999999999999999E-2</v>
      </c>
      <c r="P20" s="130">
        <v>0.11</v>
      </c>
      <c r="Q20" s="128">
        <f t="shared" si="2"/>
        <v>9.7606818971012466</v>
      </c>
      <c r="R20">
        <f t="shared" si="6"/>
        <v>30</v>
      </c>
      <c r="S20" t="str">
        <f t="shared" si="4"/>
        <v>NORMAL</v>
      </c>
      <c r="T20" s="34">
        <f t="shared" si="5"/>
        <v>0.32535606323670824</v>
      </c>
    </row>
    <row r="21" spans="1:20">
      <c r="A21" s="65">
        <v>10</v>
      </c>
      <c r="B21" s="8">
        <v>21</v>
      </c>
      <c r="C21">
        <v>33</v>
      </c>
      <c r="D21">
        <v>33</v>
      </c>
      <c r="E21" t="b">
        <v>0</v>
      </c>
      <c r="F21" t="s">
        <v>793</v>
      </c>
      <c r="G21">
        <v>1.0454000000000001</v>
      </c>
      <c r="H21">
        <v>9.3368000000000007E-2</v>
      </c>
      <c r="I21" s="8">
        <v>15.78792</v>
      </c>
      <c r="J21" s="8">
        <v>10.01464</v>
      </c>
      <c r="K21" s="59">
        <f t="shared" si="0"/>
        <v>18.696294612997519</v>
      </c>
      <c r="L21" s="8">
        <v>-15.67662</v>
      </c>
      <c r="M21" s="8">
        <v>-9.7750800000000009</v>
      </c>
      <c r="N21" s="59">
        <f t="shared" si="1"/>
        <v>18.474539334738498</v>
      </c>
      <c r="O21" s="129">
        <v>6.0000000000000001E-3</v>
      </c>
      <c r="P21" s="130">
        <v>0.01</v>
      </c>
      <c r="Q21" s="128">
        <f t="shared" si="2"/>
        <v>18.696294612997519</v>
      </c>
      <c r="R21">
        <f t="shared" si="6"/>
        <v>30</v>
      </c>
      <c r="S21" t="str">
        <f t="shared" si="4"/>
        <v>NORMAL</v>
      </c>
      <c r="T21" s="34">
        <f t="shared" si="5"/>
        <v>0.62320982043325068</v>
      </c>
    </row>
    <row r="22" spans="1:20">
      <c r="A22" s="65">
        <v>10</v>
      </c>
      <c r="B22" s="8">
        <v>22</v>
      </c>
      <c r="C22">
        <v>33</v>
      </c>
      <c r="D22">
        <v>33</v>
      </c>
      <c r="E22" t="b">
        <v>0</v>
      </c>
      <c r="F22" t="s">
        <v>794</v>
      </c>
      <c r="G22">
        <v>1.0454000000000001</v>
      </c>
      <c r="H22">
        <v>6.6023999999999999E-2</v>
      </c>
      <c r="I22" s="8">
        <v>7.62723</v>
      </c>
      <c r="J22" s="8">
        <v>4.6200400000000004</v>
      </c>
      <c r="K22" s="59">
        <f t="shared" si="0"/>
        <v>8.9173654783517762</v>
      </c>
      <c r="L22" s="8">
        <v>-7.5743299999999998</v>
      </c>
      <c r="M22" s="8">
        <v>-4.5109700000000004</v>
      </c>
      <c r="N22" s="59">
        <f t="shared" si="1"/>
        <v>8.8158564694418651</v>
      </c>
      <c r="O22" s="129">
        <v>8.0000000000000002E-3</v>
      </c>
      <c r="P22" s="130">
        <v>0.03</v>
      </c>
      <c r="Q22" s="128">
        <f t="shared" si="2"/>
        <v>8.9173654783517762</v>
      </c>
      <c r="R22">
        <f t="shared" si="6"/>
        <v>30</v>
      </c>
      <c r="S22" t="str">
        <f t="shared" si="4"/>
        <v>NORMAL</v>
      </c>
      <c r="T22" s="34">
        <f t="shared" si="5"/>
        <v>0.29724551594505921</v>
      </c>
    </row>
    <row r="23" spans="1:20">
      <c r="A23" s="65">
        <v>12</v>
      </c>
      <c r="B23" s="8">
        <v>13</v>
      </c>
      <c r="C23">
        <v>33</v>
      </c>
      <c r="D23">
        <v>33</v>
      </c>
      <c r="E23" t="b">
        <v>0</v>
      </c>
      <c r="F23" t="s">
        <v>795</v>
      </c>
      <c r="G23">
        <v>1.0454000000000001</v>
      </c>
      <c r="H23">
        <v>0.178898</v>
      </c>
      <c r="I23" s="8">
        <v>0</v>
      </c>
      <c r="J23" s="8">
        <v>-10.346439999999999</v>
      </c>
      <c r="K23" s="59">
        <f t="shared" si="0"/>
        <v>10.346439999999999</v>
      </c>
      <c r="L23" s="8">
        <v>0</v>
      </c>
      <c r="M23" s="8">
        <v>10.480499999999999</v>
      </c>
      <c r="N23" s="59">
        <f t="shared" si="1"/>
        <v>10.480499999999999</v>
      </c>
      <c r="O23" s="129">
        <v>3.9E-2</v>
      </c>
      <c r="P23" s="130">
        <v>0.08</v>
      </c>
      <c r="Q23" s="128">
        <f t="shared" si="2"/>
        <v>10.480499999999999</v>
      </c>
      <c r="R23">
        <f t="shared" si="6"/>
        <v>30</v>
      </c>
      <c r="S23" t="str">
        <f t="shared" si="4"/>
        <v>NORMAL</v>
      </c>
      <c r="T23" s="34">
        <f t="shared" si="5"/>
        <v>0.34934999999999999</v>
      </c>
    </row>
    <row r="24" spans="1:20">
      <c r="A24" s="65">
        <v>12</v>
      </c>
      <c r="B24" s="8">
        <v>14</v>
      </c>
      <c r="C24">
        <v>33</v>
      </c>
      <c r="D24">
        <v>33</v>
      </c>
      <c r="E24" t="b">
        <v>0</v>
      </c>
      <c r="F24" t="s">
        <v>796</v>
      </c>
      <c r="G24">
        <v>1.0454000000000001</v>
      </c>
      <c r="H24">
        <v>8.5301000000000002E-2</v>
      </c>
      <c r="I24" s="8">
        <v>7.8520799999999999</v>
      </c>
      <c r="J24" s="8">
        <v>2.3898299999999999</v>
      </c>
      <c r="K24" s="59">
        <f t="shared" si="0"/>
        <v>8.2077066075305112</v>
      </c>
      <c r="L24" s="8">
        <v>-7.7778999999999998</v>
      </c>
      <c r="M24" s="8">
        <v>-2.2356199999999999</v>
      </c>
      <c r="N24" s="59">
        <f t="shared" si="1"/>
        <v>8.0928193600499938</v>
      </c>
      <c r="O24" s="129">
        <v>5.0000000000000001E-3</v>
      </c>
      <c r="P24" s="130">
        <v>0.01</v>
      </c>
      <c r="Q24" s="128">
        <f t="shared" si="2"/>
        <v>8.2077066075305112</v>
      </c>
      <c r="R24">
        <f t="shared" si="6"/>
        <v>30</v>
      </c>
      <c r="S24" t="str">
        <f t="shared" si="4"/>
        <v>NORMAL</v>
      </c>
      <c r="T24" s="34">
        <f t="shared" si="5"/>
        <v>0.27359022025101704</v>
      </c>
    </row>
    <row r="25" spans="1:20">
      <c r="A25" s="65">
        <v>12</v>
      </c>
      <c r="B25" s="8">
        <v>15</v>
      </c>
      <c r="C25">
        <v>33</v>
      </c>
      <c r="D25">
        <v>33</v>
      </c>
      <c r="E25" t="b">
        <v>0</v>
      </c>
      <c r="F25" t="s">
        <v>797</v>
      </c>
      <c r="G25">
        <v>1.0329999999999999</v>
      </c>
      <c r="H25">
        <v>2.1394E-2</v>
      </c>
      <c r="I25" s="8">
        <v>17.88391</v>
      </c>
      <c r="J25" s="8">
        <v>6.7746399999999998</v>
      </c>
      <c r="K25" s="59">
        <f t="shared" si="0"/>
        <v>19.124068186913057</v>
      </c>
      <c r="L25" s="8">
        <v>-17.66733</v>
      </c>
      <c r="M25" s="8">
        <v>-6.34802</v>
      </c>
      <c r="N25" s="59">
        <f t="shared" si="1"/>
        <v>18.773169877495384</v>
      </c>
      <c r="O25" s="129">
        <v>1.7000000000000001E-2</v>
      </c>
      <c r="P25" s="130">
        <v>0.03</v>
      </c>
      <c r="Q25" s="128">
        <f t="shared" si="2"/>
        <v>19.124068186913057</v>
      </c>
      <c r="R25">
        <f t="shared" si="6"/>
        <v>30</v>
      </c>
      <c r="S25" t="str">
        <f t="shared" si="4"/>
        <v>NORMAL</v>
      </c>
      <c r="T25" s="34">
        <f t="shared" si="5"/>
        <v>0.6374689395637686</v>
      </c>
    </row>
    <row r="26" spans="1:20">
      <c r="A26" s="65">
        <v>12</v>
      </c>
      <c r="B26" s="8">
        <v>16</v>
      </c>
      <c r="C26">
        <v>33</v>
      </c>
      <c r="D26">
        <v>33</v>
      </c>
      <c r="E26" t="b">
        <v>0</v>
      </c>
      <c r="F26" t="s">
        <v>798</v>
      </c>
      <c r="G26">
        <v>1.0379</v>
      </c>
      <c r="H26">
        <v>5.6068E-2</v>
      </c>
      <c r="I26" s="8">
        <v>7.2407300000000001</v>
      </c>
      <c r="J26" s="8">
        <v>3.3428800000000001</v>
      </c>
      <c r="K26" s="59">
        <f t="shared" si="0"/>
        <v>7.9751500065704093</v>
      </c>
      <c r="L26" s="8">
        <v>-7.18696</v>
      </c>
      <c r="M26" s="8">
        <v>-3.2298300000000002</v>
      </c>
      <c r="N26" s="59">
        <f t="shared" si="1"/>
        <v>7.8793525032517744</v>
      </c>
      <c r="O26" s="129">
        <v>8.2000000000000003E-2</v>
      </c>
      <c r="P26" s="130">
        <v>0.18</v>
      </c>
      <c r="Q26" s="128">
        <f t="shared" si="2"/>
        <v>7.9751500065704093</v>
      </c>
      <c r="R26">
        <f t="shared" si="6"/>
        <v>30</v>
      </c>
      <c r="S26" t="str">
        <f t="shared" si="4"/>
        <v>NORMAL</v>
      </c>
      <c r="T26" s="34">
        <f t="shared" si="5"/>
        <v>0.26583833355234698</v>
      </c>
    </row>
    <row r="27" spans="1:20">
      <c r="A27" s="65">
        <v>14</v>
      </c>
      <c r="B27" s="8">
        <v>15</v>
      </c>
      <c r="C27">
        <v>33</v>
      </c>
      <c r="D27">
        <v>33</v>
      </c>
      <c r="E27" t="b">
        <v>0</v>
      </c>
      <c r="F27" t="s">
        <v>799</v>
      </c>
      <c r="G27">
        <v>1.0335000000000001</v>
      </c>
      <c r="H27">
        <v>6.3073000000000004E-2</v>
      </c>
      <c r="I27" s="8">
        <v>1.58552</v>
      </c>
      <c r="J27" s="8">
        <v>0.64742</v>
      </c>
      <c r="K27" s="59">
        <f t="shared" si="0"/>
        <v>1.7126080482118493</v>
      </c>
      <c r="L27" s="8">
        <v>-1.5795600000000001</v>
      </c>
      <c r="M27" s="8">
        <v>-0.64202999999999999</v>
      </c>
      <c r="N27" s="59">
        <f t="shared" si="1"/>
        <v>1.7050549300535747</v>
      </c>
      <c r="O27" s="129">
        <v>1.4E-2</v>
      </c>
      <c r="P27" s="130">
        <v>0.04</v>
      </c>
      <c r="Q27" s="128">
        <f t="shared" si="2"/>
        <v>1.7126080482118493</v>
      </c>
      <c r="R27">
        <f t="shared" si="6"/>
        <v>30</v>
      </c>
      <c r="S27" t="str">
        <f t="shared" si="4"/>
        <v>NORMAL</v>
      </c>
      <c r="T27" s="34">
        <f t="shared" si="5"/>
        <v>5.7086934940394976E-2</v>
      </c>
    </row>
    <row r="28" spans="1:20">
      <c r="A28" s="65">
        <v>15</v>
      </c>
      <c r="B28" s="8">
        <v>18</v>
      </c>
      <c r="C28">
        <v>33</v>
      </c>
      <c r="D28">
        <v>33</v>
      </c>
      <c r="E28" t="b">
        <v>0</v>
      </c>
      <c r="F28" t="s">
        <v>800</v>
      </c>
      <c r="G28">
        <v>1.0274000000000001</v>
      </c>
      <c r="H28">
        <v>2.1911E-2</v>
      </c>
      <c r="I28" s="8">
        <v>6.0128899999999996</v>
      </c>
      <c r="J28" s="8">
        <v>1.58786</v>
      </c>
      <c r="K28" s="59">
        <f t="shared" si="0"/>
        <v>6.2190148361054742</v>
      </c>
      <c r="L28" s="8">
        <v>-5.9743700000000004</v>
      </c>
      <c r="M28" s="8">
        <v>-1.5094099999999999</v>
      </c>
      <c r="N28" s="59">
        <f t="shared" si="1"/>
        <v>6.1620950532266221</v>
      </c>
      <c r="O28" s="129">
        <v>0.111</v>
      </c>
      <c r="P28" s="130">
        <v>0.24</v>
      </c>
      <c r="Q28" s="128">
        <f t="shared" si="2"/>
        <v>6.2190148361054742</v>
      </c>
      <c r="R28">
        <f t="shared" si="6"/>
        <v>30</v>
      </c>
      <c r="S28" t="str">
        <f t="shared" si="4"/>
        <v>NORMAL</v>
      </c>
      <c r="T28" s="34">
        <f t="shared" si="5"/>
        <v>0.20730049453684915</v>
      </c>
    </row>
    <row r="29" spans="1:20">
      <c r="A29" s="65">
        <v>15</v>
      </c>
      <c r="B29" s="8">
        <v>23</v>
      </c>
      <c r="C29">
        <v>33</v>
      </c>
      <c r="D29">
        <v>33</v>
      </c>
      <c r="E29" t="b">
        <v>0</v>
      </c>
      <c r="F29" t="s">
        <v>801</v>
      </c>
      <c r="G29">
        <v>1.0218</v>
      </c>
      <c r="H29">
        <v>2.2938E-2</v>
      </c>
      <c r="I29" s="8">
        <v>5.0373799999999997</v>
      </c>
      <c r="J29" s="8">
        <v>2.91351</v>
      </c>
      <c r="K29" s="59">
        <f t="shared" si="0"/>
        <v>5.8192557758273518</v>
      </c>
      <c r="L29" s="8">
        <v>-5.0059500000000003</v>
      </c>
      <c r="M29" s="8">
        <v>-2.8500100000000002</v>
      </c>
      <c r="N29" s="59">
        <f t="shared" si="1"/>
        <v>5.7603899523035773</v>
      </c>
      <c r="O29" s="129">
        <v>5.2999999999999999E-2</v>
      </c>
      <c r="P29" s="130">
        <v>0.11</v>
      </c>
      <c r="Q29" s="128">
        <f t="shared" si="2"/>
        <v>5.8192557758273518</v>
      </c>
      <c r="R29">
        <f t="shared" si="6"/>
        <v>30</v>
      </c>
      <c r="S29" t="str">
        <f t="shared" si="4"/>
        <v>NORMAL</v>
      </c>
      <c r="T29" s="34">
        <f t="shared" si="5"/>
        <v>0.19397519252757839</v>
      </c>
    </row>
    <row r="30" spans="1:20">
      <c r="A30" s="65">
        <v>16</v>
      </c>
      <c r="B30" s="8">
        <v>17</v>
      </c>
      <c r="C30">
        <v>33</v>
      </c>
      <c r="D30">
        <v>33</v>
      </c>
      <c r="E30" t="b">
        <v>0</v>
      </c>
      <c r="F30" t="s">
        <v>802</v>
      </c>
      <c r="G30">
        <v>1.0176000000000001</v>
      </c>
      <c r="H30">
        <v>4.2803000000000001E-2</v>
      </c>
      <c r="I30" s="8">
        <v>3.6795300000000002</v>
      </c>
      <c r="J30" s="8">
        <v>1.39713</v>
      </c>
      <c r="K30" s="59">
        <f t="shared" si="0"/>
        <v>3.9358497504096879</v>
      </c>
      <c r="L30" s="8">
        <v>-3.6720899999999999</v>
      </c>
      <c r="M30" s="8">
        <v>-1.3698300000000001</v>
      </c>
      <c r="N30" s="59">
        <f t="shared" si="1"/>
        <v>3.9192702378121362</v>
      </c>
      <c r="O30" s="129">
        <v>1E-3</v>
      </c>
      <c r="P30" s="130">
        <v>0</v>
      </c>
      <c r="Q30" s="128">
        <f t="shared" si="2"/>
        <v>3.9358497504096879</v>
      </c>
      <c r="R30">
        <f t="shared" si="6"/>
        <v>30</v>
      </c>
      <c r="S30" t="str">
        <f t="shared" si="4"/>
        <v>NORMAL</v>
      </c>
      <c r="T30" s="34">
        <f t="shared" si="5"/>
        <v>0.13119499168032292</v>
      </c>
    </row>
    <row r="31" spans="1:20">
      <c r="A31" s="65">
        <v>18</v>
      </c>
      <c r="B31" s="8">
        <v>19</v>
      </c>
      <c r="C31">
        <v>33</v>
      </c>
      <c r="D31">
        <v>33</v>
      </c>
      <c r="E31" t="b">
        <v>0</v>
      </c>
      <c r="F31" t="s">
        <v>803</v>
      </c>
      <c r="G31">
        <v>1.0176000000000001</v>
      </c>
      <c r="H31">
        <v>4.6900999999999998E-2</v>
      </c>
      <c r="I31" s="8">
        <v>2.77901</v>
      </c>
      <c r="J31" s="8">
        <v>0.61922999999999995</v>
      </c>
      <c r="K31" s="59">
        <f t="shared" si="0"/>
        <v>2.8471639174799894</v>
      </c>
      <c r="L31" s="8">
        <v>-2.7741199999999999</v>
      </c>
      <c r="M31" s="8">
        <v>-0.60933000000000004</v>
      </c>
      <c r="N31" s="59">
        <f t="shared" si="1"/>
        <v>2.8402508380951144</v>
      </c>
      <c r="O31" s="129">
        <v>3.1E-2</v>
      </c>
      <c r="P31" s="130">
        <v>0.06</v>
      </c>
      <c r="Q31" s="128">
        <f t="shared" si="2"/>
        <v>2.8471639174799894</v>
      </c>
      <c r="R31">
        <f t="shared" si="6"/>
        <v>30</v>
      </c>
      <c r="S31" t="str">
        <f t="shared" si="4"/>
        <v>NORMAL</v>
      </c>
      <c r="T31" s="34">
        <f t="shared" si="5"/>
        <v>9.4905463915999647E-2</v>
      </c>
    </row>
    <row r="32" spans="1:20">
      <c r="A32" s="65">
        <v>19</v>
      </c>
      <c r="B32" s="8">
        <v>20</v>
      </c>
      <c r="C32">
        <v>33</v>
      </c>
      <c r="D32">
        <v>33</v>
      </c>
      <c r="E32" t="b">
        <v>0</v>
      </c>
      <c r="F32" t="s">
        <v>804</v>
      </c>
      <c r="G32">
        <v>0.99990000000000001</v>
      </c>
      <c r="H32">
        <v>7.5369000000000005E-2</v>
      </c>
      <c r="I32" s="8">
        <v>-6.7340400000000002</v>
      </c>
      <c r="J32" s="8">
        <v>-2.8094199999999998</v>
      </c>
      <c r="K32" s="59">
        <f t="shared" si="0"/>
        <v>7.296583821076819</v>
      </c>
      <c r="L32" s="8">
        <v>6.7512400000000001</v>
      </c>
      <c r="M32" s="8">
        <v>2.84382</v>
      </c>
      <c r="N32" s="59">
        <f t="shared" si="1"/>
        <v>7.3257459504135145</v>
      </c>
      <c r="O32" s="129">
        <v>4.5999999999999999E-2</v>
      </c>
      <c r="P32" s="130">
        <v>7.0000000000000007E-2</v>
      </c>
      <c r="Q32" s="128">
        <f t="shared" si="2"/>
        <v>7.3257459504135145</v>
      </c>
      <c r="R32">
        <f t="shared" si="6"/>
        <v>30</v>
      </c>
      <c r="S32" t="str">
        <f t="shared" si="4"/>
        <v>NORMAL</v>
      </c>
      <c r="T32" s="34">
        <f t="shared" si="5"/>
        <v>0.24419153168045049</v>
      </c>
    </row>
    <row r="33" spans="1:20">
      <c r="A33" s="65">
        <v>21</v>
      </c>
      <c r="B33" s="8">
        <v>22</v>
      </c>
      <c r="C33">
        <v>33</v>
      </c>
      <c r="D33">
        <v>33</v>
      </c>
      <c r="E33" t="b">
        <v>0</v>
      </c>
      <c r="F33" t="s">
        <v>805</v>
      </c>
      <c r="G33">
        <v>1.0235000000000001</v>
      </c>
      <c r="H33">
        <v>6.2587000000000004E-2</v>
      </c>
      <c r="I33" s="8">
        <v>-1.7757099999999999</v>
      </c>
      <c r="J33" s="8">
        <v>-1.3156099999999999</v>
      </c>
      <c r="K33" s="59">
        <f t="shared" si="0"/>
        <v>2.209971872264441</v>
      </c>
      <c r="L33" s="8">
        <v>1.77624</v>
      </c>
      <c r="M33" s="8">
        <v>1.3166899999999999</v>
      </c>
      <c r="N33" s="59">
        <f t="shared" si="1"/>
        <v>2.2110407263775129</v>
      </c>
      <c r="O33" s="129">
        <v>6.0000000000000001E-3</v>
      </c>
      <c r="P33" s="130">
        <v>0.01</v>
      </c>
      <c r="Q33" s="128">
        <f t="shared" si="2"/>
        <v>2.2110407263775129</v>
      </c>
      <c r="R33">
        <f t="shared" si="6"/>
        <v>30</v>
      </c>
      <c r="S33" t="str">
        <f t="shared" si="4"/>
        <v>NORMAL</v>
      </c>
      <c r="T33" s="34">
        <f t="shared" si="5"/>
        <v>7.3701357545917098E-2</v>
      </c>
    </row>
    <row r="34" spans="1:20">
      <c r="A34" s="65">
        <v>22</v>
      </c>
      <c r="B34" s="8">
        <v>24</v>
      </c>
      <c r="C34">
        <v>33</v>
      </c>
      <c r="D34">
        <v>33</v>
      </c>
      <c r="E34" t="b">
        <v>0</v>
      </c>
      <c r="F34" t="s">
        <v>806</v>
      </c>
      <c r="G34">
        <v>1.0235000000000001</v>
      </c>
      <c r="H34">
        <v>7.1162000000000003E-2</v>
      </c>
      <c r="I34" s="8">
        <v>5.74796</v>
      </c>
      <c r="J34" s="8">
        <v>3.0745200000000001</v>
      </c>
      <c r="K34" s="59">
        <f t="shared" si="0"/>
        <v>6.5185671272143848</v>
      </c>
      <c r="L34" s="8">
        <v>-5.70221</v>
      </c>
      <c r="M34" s="8">
        <v>-3.0033099999999999</v>
      </c>
      <c r="N34" s="59">
        <f t="shared" si="1"/>
        <v>6.4447707360463955</v>
      </c>
      <c r="O34" s="129">
        <v>0.01</v>
      </c>
      <c r="P34" s="130">
        <v>0.02</v>
      </c>
      <c r="Q34" s="128">
        <f t="shared" si="2"/>
        <v>6.5185671272143848</v>
      </c>
      <c r="R34">
        <f t="shared" si="6"/>
        <v>30</v>
      </c>
      <c r="S34" t="str">
        <f t="shared" si="4"/>
        <v>NORMAL</v>
      </c>
      <c r="T34" s="34">
        <f t="shared" si="5"/>
        <v>0.21728557090714615</v>
      </c>
    </row>
    <row r="35" spans="1:20">
      <c r="A35" s="65">
        <v>23</v>
      </c>
      <c r="B35" s="8">
        <v>24</v>
      </c>
      <c r="C35">
        <v>33</v>
      </c>
      <c r="D35">
        <v>132</v>
      </c>
      <c r="E35" t="b">
        <v>1</v>
      </c>
      <c r="F35" t="s">
        <v>807</v>
      </c>
      <c r="G35">
        <v>0.99219999999999997</v>
      </c>
      <c r="H35">
        <v>0.49366500000000002</v>
      </c>
      <c r="I35" s="8">
        <v>1.8065800000000001</v>
      </c>
      <c r="J35" s="8">
        <v>1.24952</v>
      </c>
      <c r="K35" s="59">
        <f t="shared" si="0"/>
        <v>2.1965954399479211</v>
      </c>
      <c r="L35" s="8">
        <v>-1.8005500000000001</v>
      </c>
      <c r="M35" s="8">
        <v>-1.2371799999999999</v>
      </c>
      <c r="N35" s="59">
        <f t="shared" si="1"/>
        <v>2.1846268914622469</v>
      </c>
      <c r="O35" s="129">
        <v>4.4999999999999998E-2</v>
      </c>
      <c r="P35" s="130">
        <v>7.0000000000000007E-2</v>
      </c>
      <c r="Q35" s="128">
        <f t="shared" si="2"/>
        <v>2.1965954399479211</v>
      </c>
      <c r="R35">
        <f t="shared" si="6"/>
        <v>30</v>
      </c>
      <c r="S35" t="str">
        <f t="shared" si="4"/>
        <v>NORMAL</v>
      </c>
      <c r="T35" s="34">
        <f t="shared" si="5"/>
        <v>7.3219847998264032E-2</v>
      </c>
    </row>
    <row r="36" spans="1:20">
      <c r="A36" s="65">
        <v>24</v>
      </c>
      <c r="B36" s="8">
        <v>25</v>
      </c>
      <c r="C36">
        <v>33</v>
      </c>
      <c r="D36">
        <v>132</v>
      </c>
      <c r="E36" t="b">
        <v>0</v>
      </c>
      <c r="F36" t="s">
        <v>808</v>
      </c>
      <c r="G36">
        <v>1.0105999999999999</v>
      </c>
      <c r="H36">
        <v>0.18481600000000001</v>
      </c>
      <c r="I36" s="8">
        <v>-1.2117</v>
      </c>
      <c r="J36" s="8">
        <v>2.0062700000000002</v>
      </c>
      <c r="K36" s="59">
        <f t="shared" si="0"/>
        <v>2.3437867229976366</v>
      </c>
      <c r="L36" s="8">
        <v>1.2216199999999999</v>
      </c>
      <c r="M36" s="8">
        <v>-1.98895</v>
      </c>
      <c r="N36" s="59">
        <f t="shared" si="1"/>
        <v>2.3341545636268393</v>
      </c>
      <c r="O36" s="129">
        <v>2.4E-2</v>
      </c>
      <c r="P36" s="130">
        <v>0.05</v>
      </c>
      <c r="Q36" s="128">
        <f t="shared" si="2"/>
        <v>2.3437867229976366</v>
      </c>
      <c r="R36">
        <f t="shared" si="6"/>
        <v>30</v>
      </c>
      <c r="S36" t="str">
        <f t="shared" si="4"/>
        <v>NORMAL</v>
      </c>
      <c r="T36" s="34">
        <f t="shared" si="5"/>
        <v>7.8126224099921218E-2</v>
      </c>
    </row>
    <row r="37" spans="1:20">
      <c r="A37" s="65">
        <v>25</v>
      </c>
      <c r="B37" s="8">
        <v>26</v>
      </c>
      <c r="C37">
        <v>33</v>
      </c>
      <c r="I37" s="8">
        <v>3.5478700000000001</v>
      </c>
      <c r="J37" s="8">
        <v>2.3718400000000002</v>
      </c>
      <c r="K37" s="59">
        <f t="shared" si="0"/>
        <v>4.2676699172382113</v>
      </c>
      <c r="L37" s="8">
        <v>-3.50312</v>
      </c>
      <c r="M37" s="8">
        <v>-2.3050099999999998</v>
      </c>
      <c r="N37" s="59">
        <f t="shared" si="1"/>
        <v>4.1934378300506614</v>
      </c>
      <c r="O37" s="129">
        <v>0</v>
      </c>
      <c r="P37" s="130">
        <v>1.29</v>
      </c>
      <c r="Q37" s="128">
        <f t="shared" si="2"/>
        <v>4.2676699172382113</v>
      </c>
      <c r="R37">
        <f t="shared" si="6"/>
        <v>30</v>
      </c>
      <c r="S37" t="str">
        <f t="shared" si="4"/>
        <v>NORMAL</v>
      </c>
      <c r="T37" s="34">
        <f t="shared" si="5"/>
        <v>0.14225566390794037</v>
      </c>
    </row>
    <row r="38" spans="1:20">
      <c r="A38" s="65">
        <v>25</v>
      </c>
      <c r="B38" s="8">
        <v>27</v>
      </c>
      <c r="C38">
        <v>33</v>
      </c>
      <c r="I38" s="8">
        <v>-4.7587799999999998</v>
      </c>
      <c r="J38" s="8">
        <v>-0.36360999999999999</v>
      </c>
      <c r="K38" s="59">
        <f t="shared" si="0"/>
        <v>4.7726511836190166</v>
      </c>
      <c r="L38" s="8">
        <v>4.7828200000000001</v>
      </c>
      <c r="M38" s="8">
        <v>0.40952</v>
      </c>
      <c r="N38" s="59">
        <f t="shared" si="1"/>
        <v>4.8003201750299951</v>
      </c>
      <c r="O38" s="129">
        <v>8.5999999999999993E-2</v>
      </c>
      <c r="P38" s="130">
        <v>0.16</v>
      </c>
      <c r="Q38" s="128">
        <f t="shared" si="2"/>
        <v>4.8003201750299951</v>
      </c>
      <c r="R38">
        <f t="shared" si="6"/>
        <v>30</v>
      </c>
      <c r="S38" t="str">
        <f t="shared" si="4"/>
        <v>NORMAL</v>
      </c>
      <c r="T38" s="34">
        <f t="shared" si="5"/>
        <v>0.16001067250099985</v>
      </c>
    </row>
    <row r="39" spans="1:20">
      <c r="A39" s="65">
        <v>27</v>
      </c>
      <c r="B39" s="8">
        <v>29</v>
      </c>
      <c r="C39">
        <v>33</v>
      </c>
      <c r="I39" s="8">
        <v>6.1862399999999997</v>
      </c>
      <c r="J39" s="8">
        <v>1.66249</v>
      </c>
      <c r="K39" s="59">
        <f t="shared" si="0"/>
        <v>6.4057348007625166</v>
      </c>
      <c r="L39" s="8">
        <v>-6.1001399999999997</v>
      </c>
      <c r="M39" s="8">
        <v>-1.4998199999999999</v>
      </c>
      <c r="N39" s="59">
        <f t="shared" si="1"/>
        <v>6.2818124814419605</v>
      </c>
      <c r="O39" s="129">
        <v>0.16200000000000001</v>
      </c>
      <c r="P39" s="130">
        <v>0.31</v>
      </c>
      <c r="Q39" s="128">
        <f t="shared" si="2"/>
        <v>6.4057348007625166</v>
      </c>
      <c r="R39">
        <f t="shared" si="6"/>
        <v>30</v>
      </c>
      <c r="S39" t="str">
        <f t="shared" si="4"/>
        <v>NORMAL</v>
      </c>
      <c r="T39" s="34">
        <f t="shared" si="5"/>
        <v>0.21352449335875054</v>
      </c>
    </row>
    <row r="40" spans="1:20">
      <c r="A40" s="65">
        <v>27</v>
      </c>
      <c r="B40" s="8">
        <v>30</v>
      </c>
      <c r="C40">
        <v>33</v>
      </c>
      <c r="I40" s="8">
        <v>7.0912300000000004</v>
      </c>
      <c r="J40" s="8">
        <v>1.66235</v>
      </c>
      <c r="K40" s="59">
        <f t="shared" si="0"/>
        <v>7.2834710430810397</v>
      </c>
      <c r="L40" s="8">
        <v>-6.9290700000000003</v>
      </c>
      <c r="M40" s="8">
        <v>-1.3571299999999999</v>
      </c>
      <c r="N40" s="59">
        <f t="shared" si="1"/>
        <v>7.0607232562818947</v>
      </c>
      <c r="O40" s="129">
        <v>3.4000000000000002E-2</v>
      </c>
      <c r="P40" s="130">
        <v>0.06</v>
      </c>
      <c r="Q40" s="128">
        <f t="shared" si="2"/>
        <v>7.2834710430810397</v>
      </c>
      <c r="R40">
        <f t="shared" si="6"/>
        <v>30</v>
      </c>
      <c r="S40" t="str">
        <f t="shared" si="4"/>
        <v>NORMAL</v>
      </c>
      <c r="T40" s="34">
        <f t="shared" si="5"/>
        <v>0.24278236810270132</v>
      </c>
    </row>
    <row r="41" spans="1:20">
      <c r="A41" s="65">
        <v>28</v>
      </c>
      <c r="B41" s="8">
        <v>27</v>
      </c>
      <c r="C41">
        <v>132</v>
      </c>
      <c r="I41" s="8">
        <v>17.490079999999999</v>
      </c>
      <c r="J41" s="8">
        <v>4.88436</v>
      </c>
      <c r="K41" s="59">
        <f t="shared" si="0"/>
        <v>18.159291589046088</v>
      </c>
      <c r="L41" s="8">
        <v>-18.068259999999999</v>
      </c>
      <c r="M41" s="8">
        <v>-3.7583199999999999</v>
      </c>
      <c r="N41" s="59">
        <f t="shared" si="1"/>
        <v>18.454999015172014</v>
      </c>
      <c r="O41" s="129">
        <v>2E-3</v>
      </c>
      <c r="P41" s="130">
        <v>0.01</v>
      </c>
      <c r="Q41" s="128">
        <f t="shared" si="2"/>
        <v>18.454999015172014</v>
      </c>
      <c r="R41">
        <f t="shared" si="6"/>
        <v>200</v>
      </c>
      <c r="S41" t="str">
        <f t="shared" si="4"/>
        <v>NORMAL</v>
      </c>
      <c r="T41" s="34">
        <f t="shared" si="5"/>
        <v>9.2274995075860067E-2</v>
      </c>
    </row>
    <row r="42" spans="1:20">
      <c r="A42" s="66">
        <v>29</v>
      </c>
      <c r="B42" s="67">
        <v>30</v>
      </c>
      <c r="C42">
        <v>33</v>
      </c>
      <c r="I42" s="67">
        <v>3.7062599999999999</v>
      </c>
      <c r="J42" s="67">
        <v>0.61092000000000002</v>
      </c>
      <c r="K42" s="59">
        <f t="shared" si="0"/>
        <v>3.7562729445555467</v>
      </c>
      <c r="L42" s="67">
        <v>-3.67266</v>
      </c>
      <c r="M42" s="67">
        <v>-0.54744000000000004</v>
      </c>
      <c r="N42" s="59">
        <f t="shared" si="1"/>
        <v>3.7132360589114182</v>
      </c>
      <c r="O42" s="129">
        <v>5.8000000000000003E-2</v>
      </c>
      <c r="P42" s="130">
        <v>0.2</v>
      </c>
      <c r="Q42" s="128">
        <f t="shared" si="2"/>
        <v>3.7562729445555467</v>
      </c>
      <c r="R42">
        <f t="shared" si="6"/>
        <v>30</v>
      </c>
      <c r="S42" t="str">
        <f t="shared" si="4"/>
        <v>NORMAL</v>
      </c>
      <c r="T42" s="34">
        <f t="shared" si="5"/>
        <v>0.12520909815185155</v>
      </c>
    </row>
  </sheetData>
  <conditionalFormatting sqref="T2:T42">
    <cfRule type="cellIs" dxfId="0" priority="1" operator="greaterThan">
      <formula>0.7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3E7B-B20E-45FE-9D55-6221AD6DF1CB}">
  <dimension ref="B2:G33"/>
  <sheetViews>
    <sheetView topLeftCell="A17" workbookViewId="0">
      <selection activeCell="I40" sqref="I40"/>
    </sheetView>
  </sheetViews>
  <sheetFormatPr baseColWidth="10" defaultColWidth="11.3984375" defaultRowHeight="13.8"/>
  <sheetData>
    <row r="2" spans="2:7" ht="14.4">
      <c r="B2" s="68" t="s">
        <v>6</v>
      </c>
      <c r="C2" t="s">
        <v>270</v>
      </c>
      <c r="D2" t="s">
        <v>271</v>
      </c>
      <c r="E2" t="s">
        <v>809</v>
      </c>
      <c r="F2" t="s">
        <v>271</v>
      </c>
      <c r="G2" t="s">
        <v>810</v>
      </c>
    </row>
    <row r="3" spans="2:7">
      <c r="B3" t="s">
        <v>214</v>
      </c>
      <c r="C3" t="s">
        <v>281</v>
      </c>
      <c r="D3" t="s">
        <v>282</v>
      </c>
      <c r="E3" t="s">
        <v>281</v>
      </c>
      <c r="F3" t="s">
        <v>282</v>
      </c>
      <c r="G3" t="s">
        <v>281</v>
      </c>
    </row>
    <row r="4" spans="2:7">
      <c r="B4">
        <v>1</v>
      </c>
      <c r="C4">
        <v>1.0232000000000001</v>
      </c>
      <c r="D4">
        <v>-7.7339000000000002</v>
      </c>
      <c r="E4">
        <v>8.8099999999999998E-2</v>
      </c>
      <c r="F4">
        <v>160.78639999999999</v>
      </c>
      <c r="G4">
        <v>1.06</v>
      </c>
    </row>
    <row r="5" spans="2:7">
      <c r="B5">
        <v>2</v>
      </c>
      <c r="C5">
        <v>1.0217000000000001</v>
      </c>
      <c r="D5">
        <v>-7.9168000000000003</v>
      </c>
      <c r="E5">
        <v>2.92E-2</v>
      </c>
      <c r="F5">
        <v>147.00700000000001</v>
      </c>
      <c r="G5">
        <v>1.0449999999999999</v>
      </c>
    </row>
    <row r="6" spans="2:7">
      <c r="B6">
        <v>3</v>
      </c>
      <c r="C6">
        <v>1.0217000000000001</v>
      </c>
      <c r="D6">
        <v>-7.9168000000000003</v>
      </c>
      <c r="E6">
        <v>2.92E-2</v>
      </c>
      <c r="F6">
        <v>147.00700000000001</v>
      </c>
      <c r="G6">
        <v>1.0209999999999999</v>
      </c>
    </row>
    <row r="7" spans="2:7">
      <c r="B7">
        <v>4</v>
      </c>
      <c r="C7">
        <v>1.0208999999999999</v>
      </c>
      <c r="D7">
        <v>-7.9649000000000001</v>
      </c>
      <c r="E7">
        <v>1.8200000000000001E-2</v>
      </c>
      <c r="F7">
        <v>-25.983899999999998</v>
      </c>
      <c r="G7">
        <v>1.012</v>
      </c>
    </row>
    <row r="8" spans="2:7">
      <c r="B8">
        <v>5</v>
      </c>
      <c r="C8">
        <v>1.018</v>
      </c>
      <c r="D8">
        <v>-8.3089999999999993</v>
      </c>
      <c r="E8">
        <v>6.6400000000000001E-2</v>
      </c>
      <c r="F8">
        <v>-16.654900000000001</v>
      </c>
      <c r="G8">
        <v>1.01</v>
      </c>
    </row>
    <row r="9" spans="2:7">
      <c r="B9">
        <v>6</v>
      </c>
      <c r="C9">
        <v>1.0207999999999999</v>
      </c>
      <c r="D9">
        <v>-7.9798</v>
      </c>
      <c r="E9">
        <v>3.5499999999999997E-2</v>
      </c>
      <c r="F9">
        <v>-20.041599999999999</v>
      </c>
      <c r="G9">
        <v>1.0109999999999999</v>
      </c>
    </row>
    <row r="10" spans="2:7">
      <c r="B10">
        <v>7</v>
      </c>
      <c r="C10">
        <v>1.0189999999999999</v>
      </c>
      <c r="D10">
        <v>-8.1381999999999994</v>
      </c>
      <c r="E10">
        <v>5.4199999999999998E-2</v>
      </c>
      <c r="F10">
        <v>-22.276900000000001</v>
      </c>
      <c r="G10">
        <v>1.0029999999999999</v>
      </c>
    </row>
    <row r="11" spans="2:7">
      <c r="B11">
        <v>8</v>
      </c>
      <c r="C11">
        <v>1.0201</v>
      </c>
      <c r="D11">
        <v>-8.06</v>
      </c>
      <c r="E11">
        <v>4.3200000000000002E-2</v>
      </c>
      <c r="F11">
        <v>-18.5228</v>
      </c>
      <c r="G11">
        <v>1.01</v>
      </c>
    </row>
    <row r="12" spans="2:7">
      <c r="B12">
        <v>9</v>
      </c>
      <c r="C12">
        <v>1.0209999999999999</v>
      </c>
      <c r="D12">
        <v>-8.109</v>
      </c>
      <c r="E12">
        <v>6.6500000000000004E-2</v>
      </c>
      <c r="F12">
        <v>3.3256999999999999</v>
      </c>
      <c r="G12">
        <v>1.0509999999999999</v>
      </c>
    </row>
    <row r="13" spans="2:7">
      <c r="B13">
        <v>10</v>
      </c>
      <c r="C13">
        <v>1.02</v>
      </c>
      <c r="D13">
        <v>-8.0172000000000008</v>
      </c>
      <c r="E13">
        <v>0.08</v>
      </c>
      <c r="F13">
        <v>-2.5194000000000001</v>
      </c>
      <c r="G13">
        <v>1.0449999999999999</v>
      </c>
    </row>
    <row r="14" spans="2:7">
      <c r="B14">
        <v>11</v>
      </c>
      <c r="C14">
        <v>1.0281</v>
      </c>
      <c r="D14">
        <v>-8.8988999999999994</v>
      </c>
      <c r="E14">
        <v>7.3700000000000002E-2</v>
      </c>
      <c r="F14">
        <v>16.156300000000002</v>
      </c>
      <c r="G14">
        <v>1.0820000000000001</v>
      </c>
    </row>
    <row r="15" spans="2:7">
      <c r="B15">
        <v>12</v>
      </c>
      <c r="C15">
        <v>1.0203</v>
      </c>
      <c r="D15">
        <v>-8.0790000000000006</v>
      </c>
      <c r="E15">
        <v>7.4999999999999997E-2</v>
      </c>
      <c r="F15">
        <v>3.5232999999999999</v>
      </c>
      <c r="G15">
        <v>1.0569999999999999</v>
      </c>
    </row>
    <row r="16" spans="2:7">
      <c r="B16">
        <v>13</v>
      </c>
      <c r="C16">
        <v>1.0237000000000001</v>
      </c>
      <c r="D16">
        <v>-8.6705000000000005</v>
      </c>
      <c r="E16">
        <v>7.7899999999999997E-2</v>
      </c>
      <c r="F16">
        <v>8.8808000000000007</v>
      </c>
      <c r="G16">
        <v>1.071</v>
      </c>
    </row>
    <row r="17" spans="2:7">
      <c r="B17">
        <v>14</v>
      </c>
      <c r="C17">
        <v>1.0136000000000001</v>
      </c>
      <c r="D17">
        <v>-8.657</v>
      </c>
      <c r="E17">
        <v>8.14E-2</v>
      </c>
      <c r="F17">
        <v>-4.0205000000000002</v>
      </c>
      <c r="G17">
        <v>1.0429999999999999</v>
      </c>
    </row>
    <row r="18" spans="2:7">
      <c r="B18">
        <v>15</v>
      </c>
      <c r="C18">
        <v>1.0175000000000001</v>
      </c>
      <c r="D18">
        <v>-8.2713999999999999</v>
      </c>
      <c r="E18">
        <v>8.1799999999999998E-2</v>
      </c>
      <c r="F18">
        <v>-5.6193999999999997</v>
      </c>
      <c r="G18">
        <v>1.038</v>
      </c>
    </row>
    <row r="19" spans="2:7">
      <c r="B19">
        <v>16</v>
      </c>
      <c r="C19">
        <v>1.018</v>
      </c>
      <c r="D19">
        <v>-8.4054000000000002</v>
      </c>
      <c r="E19">
        <v>7.8799999999999995E-2</v>
      </c>
      <c r="F19">
        <v>-2.3555000000000001</v>
      </c>
      <c r="G19">
        <v>1.0449999999999999</v>
      </c>
    </row>
    <row r="20" spans="2:7">
      <c r="B20">
        <v>17</v>
      </c>
      <c r="C20">
        <v>1.0185999999999999</v>
      </c>
      <c r="D20">
        <v>-8.2409999999999997</v>
      </c>
      <c r="E20">
        <v>8.1199999999999994E-2</v>
      </c>
      <c r="F20">
        <v>-4.7028999999999996</v>
      </c>
      <c r="G20">
        <v>1.04</v>
      </c>
    </row>
    <row r="21" spans="2:7">
      <c r="B21">
        <v>18</v>
      </c>
      <c r="C21">
        <v>1.0130999999999999</v>
      </c>
      <c r="D21">
        <v>-8.6791999999999998</v>
      </c>
      <c r="E21">
        <v>8.6800000000000002E-2</v>
      </c>
      <c r="F21">
        <v>-9.8897999999999993</v>
      </c>
      <c r="G21">
        <v>1.028</v>
      </c>
    </row>
    <row r="22" spans="2:7">
      <c r="B22">
        <v>19</v>
      </c>
      <c r="C22">
        <v>1.0130999999999999</v>
      </c>
      <c r="D22">
        <v>-8.6744000000000003</v>
      </c>
      <c r="E22">
        <v>8.8400000000000006E-2</v>
      </c>
      <c r="F22">
        <v>-10.7186</v>
      </c>
      <c r="G22">
        <v>1.026</v>
      </c>
    </row>
    <row r="23" spans="2:7">
      <c r="B23">
        <v>20</v>
      </c>
      <c r="C23">
        <v>1.0145</v>
      </c>
      <c r="D23">
        <v>-8.5906000000000002</v>
      </c>
      <c r="E23">
        <v>8.6699999999999999E-2</v>
      </c>
      <c r="F23">
        <v>-9.1304999999999996</v>
      </c>
      <c r="G23">
        <v>1.03</v>
      </c>
    </row>
    <row r="24" spans="2:7">
      <c r="B24">
        <v>21</v>
      </c>
      <c r="C24">
        <v>1.0183</v>
      </c>
      <c r="D24">
        <v>-8.1815999999999995</v>
      </c>
      <c r="E24">
        <v>8.3199999999999996E-2</v>
      </c>
      <c r="F24">
        <v>-7.6295999999999999</v>
      </c>
      <c r="G24">
        <v>1.0329999999999999</v>
      </c>
    </row>
    <row r="25" spans="2:7">
      <c r="B25">
        <v>22</v>
      </c>
      <c r="C25">
        <v>1.0182</v>
      </c>
      <c r="D25">
        <v>-8.1844999999999999</v>
      </c>
      <c r="E25">
        <v>8.3000000000000004E-2</v>
      </c>
      <c r="F25">
        <v>-7.6131000000000002</v>
      </c>
      <c r="G25">
        <v>1.034</v>
      </c>
    </row>
    <row r="26" spans="2:7">
      <c r="B26">
        <v>23</v>
      </c>
      <c r="C26">
        <v>1.0132000000000001</v>
      </c>
      <c r="D26">
        <v>-8.6214999999999993</v>
      </c>
      <c r="E26">
        <v>8.4599999999999995E-2</v>
      </c>
      <c r="F26">
        <v>-10.037699999999999</v>
      </c>
      <c r="G26">
        <v>1.0269999999999999</v>
      </c>
    </row>
    <row r="27" spans="2:7">
      <c r="B27">
        <v>24</v>
      </c>
      <c r="C27">
        <v>1.0144</v>
      </c>
      <c r="D27">
        <v>-8.4030000000000005</v>
      </c>
      <c r="E27">
        <v>8.5800000000000001E-2</v>
      </c>
      <c r="F27">
        <v>-12.2333</v>
      </c>
      <c r="G27">
        <v>1.022</v>
      </c>
    </row>
    <row r="28" spans="2:7">
      <c r="B28">
        <v>25</v>
      </c>
      <c r="C28">
        <v>1.0105</v>
      </c>
      <c r="D28">
        <v>-8.9484999999999992</v>
      </c>
      <c r="E28">
        <v>8.2400000000000001E-2</v>
      </c>
      <c r="F28">
        <v>-13.723599999999999</v>
      </c>
      <c r="G28">
        <v>1.018</v>
      </c>
    </row>
    <row r="29" spans="2:7">
      <c r="B29">
        <v>26</v>
      </c>
      <c r="C29">
        <v>0.98040000000000005</v>
      </c>
      <c r="D29">
        <v>-10.5611</v>
      </c>
      <c r="E29">
        <v>8.6599999999999996E-2</v>
      </c>
      <c r="F29">
        <v>-20.082899999999999</v>
      </c>
      <c r="G29">
        <v>1</v>
      </c>
    </row>
    <row r="30" spans="2:7">
      <c r="B30">
        <v>27</v>
      </c>
      <c r="C30">
        <v>1.0155000000000001</v>
      </c>
      <c r="D30">
        <v>-8.9059000000000008</v>
      </c>
      <c r="E30">
        <v>7.8E-2</v>
      </c>
      <c r="F30">
        <v>-11.2041</v>
      </c>
      <c r="G30">
        <v>1.024</v>
      </c>
    </row>
    <row r="31" spans="2:7">
      <c r="B31">
        <v>28</v>
      </c>
      <c r="C31">
        <v>1.0199</v>
      </c>
      <c r="D31">
        <v>-8.0679999999999996</v>
      </c>
      <c r="E31">
        <v>4.2099999999999999E-2</v>
      </c>
      <c r="F31">
        <v>-21.081700000000001</v>
      </c>
      <c r="G31">
        <v>1.0069999999999999</v>
      </c>
    </row>
    <row r="32" spans="2:7">
      <c r="B32">
        <v>29</v>
      </c>
      <c r="C32">
        <v>0.99370000000000003</v>
      </c>
      <c r="D32">
        <v>-10.3735</v>
      </c>
      <c r="E32">
        <v>8.9899999999999994E-2</v>
      </c>
      <c r="F32">
        <v>-19.0166</v>
      </c>
      <c r="G32">
        <v>1.004</v>
      </c>
    </row>
    <row r="33" spans="2:7">
      <c r="B33">
        <v>30</v>
      </c>
      <c r="C33">
        <v>0.98419999999999996</v>
      </c>
      <c r="D33">
        <v>-10.801500000000001</v>
      </c>
      <c r="E33">
        <v>9.8799999999999999E-2</v>
      </c>
      <c r="F33">
        <v>-22.449300000000001</v>
      </c>
      <c r="G33">
        <v>0.99199999999999999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015-93D0-4260-BAE8-5795854D0988}">
  <dimension ref="B2:E21"/>
  <sheetViews>
    <sheetView workbookViewId="0"/>
  </sheetViews>
  <sheetFormatPr baseColWidth="10" defaultColWidth="8.796875" defaultRowHeight="13.8"/>
  <cols>
    <col min="3" max="3" width="15.3984375" bestFit="1" customWidth="1"/>
    <col min="4" max="4" width="15.09765625" customWidth="1"/>
    <col min="5" max="5" width="16" customWidth="1"/>
  </cols>
  <sheetData>
    <row r="2" spans="2:5">
      <c r="B2" s="223" t="s">
        <v>811</v>
      </c>
      <c r="C2" s="100" t="s">
        <v>812</v>
      </c>
      <c r="D2" s="101" t="s">
        <v>813</v>
      </c>
      <c r="E2" s="102" t="s">
        <v>814</v>
      </c>
    </row>
    <row r="3" spans="2:5">
      <c r="B3" s="224"/>
      <c r="C3" s="103" t="s">
        <v>815</v>
      </c>
      <c r="D3" s="104" t="s">
        <v>815</v>
      </c>
      <c r="E3" s="105" t="s">
        <v>815</v>
      </c>
    </row>
    <row r="4" spans="2:5">
      <c r="B4" s="107">
        <v>1</v>
      </c>
      <c r="C4" s="108">
        <v>2456</v>
      </c>
      <c r="D4" s="109">
        <v>2702</v>
      </c>
      <c r="E4" s="110">
        <v>202302</v>
      </c>
    </row>
    <row r="5" spans="2:5">
      <c r="B5" s="111">
        <v>2</v>
      </c>
      <c r="C5" s="111" t="s">
        <v>816</v>
      </c>
      <c r="D5" s="112" t="s">
        <v>817</v>
      </c>
      <c r="E5" s="113" t="s">
        <v>818</v>
      </c>
    </row>
    <row r="6" spans="2:5">
      <c r="B6" s="111">
        <v>3</v>
      </c>
      <c r="C6" s="111">
        <v>0</v>
      </c>
      <c r="D6" s="112">
        <v>0</v>
      </c>
      <c r="E6" s="113">
        <v>0</v>
      </c>
    </row>
    <row r="7" spans="2:5">
      <c r="B7" s="111">
        <v>4</v>
      </c>
      <c r="C7" s="111">
        <v>0</v>
      </c>
      <c r="D7" s="112">
        <v>0</v>
      </c>
      <c r="E7" s="113">
        <v>0</v>
      </c>
    </row>
    <row r="8" spans="2:5">
      <c r="B8" s="111">
        <v>5</v>
      </c>
      <c r="C8" s="111">
        <v>0</v>
      </c>
      <c r="D8" s="112">
        <v>0</v>
      </c>
      <c r="E8" s="113">
        <v>0</v>
      </c>
    </row>
    <row r="9" spans="2:5">
      <c r="B9" s="111">
        <v>6</v>
      </c>
      <c r="C9" s="111">
        <v>0</v>
      </c>
      <c r="D9" s="112">
        <v>0</v>
      </c>
      <c r="E9" s="113">
        <v>0</v>
      </c>
    </row>
    <row r="10" spans="2:5">
      <c r="B10" s="114">
        <v>7</v>
      </c>
      <c r="C10" s="114">
        <v>0</v>
      </c>
      <c r="D10" s="115">
        <v>0</v>
      </c>
      <c r="E10" s="116" t="s">
        <v>819</v>
      </c>
    </row>
    <row r="13" spans="2:5">
      <c r="B13" s="223" t="s">
        <v>811</v>
      </c>
      <c r="C13" s="100" t="s">
        <v>812</v>
      </c>
      <c r="D13" s="101" t="s">
        <v>813</v>
      </c>
      <c r="E13" s="102" t="s">
        <v>814</v>
      </c>
    </row>
    <row r="14" spans="2:5">
      <c r="B14" s="224"/>
      <c r="C14" s="106" t="s">
        <v>820</v>
      </c>
      <c r="D14" s="106" t="s">
        <v>820</v>
      </c>
      <c r="E14" s="106" t="s">
        <v>820</v>
      </c>
    </row>
    <row r="15" spans="2:5">
      <c r="B15" s="107">
        <v>1</v>
      </c>
      <c r="C15" s="117" t="s">
        <v>821</v>
      </c>
      <c r="D15" s="118" t="s">
        <v>822</v>
      </c>
      <c r="E15" s="117" t="s">
        <v>821</v>
      </c>
    </row>
    <row r="16" spans="2:5">
      <c r="B16" s="111">
        <v>2</v>
      </c>
      <c r="C16" s="112" t="s">
        <v>823</v>
      </c>
      <c r="D16" s="119" t="s">
        <v>824</v>
      </c>
      <c r="E16" s="112" t="s">
        <v>823</v>
      </c>
    </row>
    <row r="17" spans="2:5">
      <c r="B17" s="111">
        <v>3</v>
      </c>
      <c r="C17" s="112">
        <v>0</v>
      </c>
      <c r="D17" s="119">
        <v>0</v>
      </c>
      <c r="E17" s="112">
        <v>0</v>
      </c>
    </row>
    <row r="18" spans="2:5">
      <c r="B18" s="111">
        <v>4</v>
      </c>
      <c r="C18" s="112">
        <v>0</v>
      </c>
      <c r="D18" s="119">
        <v>0</v>
      </c>
      <c r="E18" s="112">
        <v>0</v>
      </c>
    </row>
    <row r="19" spans="2:5">
      <c r="B19" s="111">
        <v>5</v>
      </c>
      <c r="C19" s="112">
        <v>0</v>
      </c>
      <c r="D19" s="119">
        <v>0</v>
      </c>
      <c r="E19" s="112">
        <v>0</v>
      </c>
    </row>
    <row r="20" spans="2:5">
      <c r="B20" s="111">
        <v>6</v>
      </c>
      <c r="C20" s="112">
        <v>0</v>
      </c>
      <c r="D20" s="119">
        <v>0</v>
      </c>
      <c r="E20" s="112">
        <v>0</v>
      </c>
    </row>
    <row r="21" spans="2:5">
      <c r="B21" s="114">
        <v>7</v>
      </c>
      <c r="C21" s="115">
        <v>0</v>
      </c>
      <c r="D21" s="120">
        <v>0</v>
      </c>
      <c r="E21" s="115" t="s">
        <v>825</v>
      </c>
    </row>
  </sheetData>
  <mergeCells count="2">
    <mergeCell ref="B2:B3"/>
    <mergeCell ref="B13:B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490E6E6C3FEC4BBC3640C6DEF84CEB" ma:contentTypeVersion="3" ma:contentTypeDescription="Create a new document." ma:contentTypeScope="" ma:versionID="43e02af63ff359a29bcb1f5eaf9de805">
  <xsd:schema xmlns:xsd="http://www.w3.org/2001/XMLSchema" xmlns:xs="http://www.w3.org/2001/XMLSchema" xmlns:p="http://schemas.microsoft.com/office/2006/metadata/properties" xmlns:ns2="9b76bdc3-38be-47a3-9fe3-120cfc34098f" targetNamespace="http://schemas.microsoft.com/office/2006/metadata/properties" ma:root="true" ma:fieldsID="55794476c85a575db11db21cda756aff" ns2:_="">
    <xsd:import namespace="9b76bdc3-38be-47a3-9fe3-120cfc340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6bdc3-38be-47a3-9fe3-120cfc340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9673FF-C046-4838-81C5-BC0B9598CF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EFAD36-7A74-4F76-9D48-5E29DC602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6bdc3-38be-47a3-9fe3-120cfc3409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95C569-EA7E-488B-851D-5D6C2DAABB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Nodos</vt:lpstr>
      <vt:lpstr>LT</vt:lpstr>
      <vt:lpstr>Generacion</vt:lpstr>
      <vt:lpstr>DATOS ESPERADOS</vt:lpstr>
      <vt:lpstr>Hoja2</vt:lpstr>
      <vt:lpstr>Caso A</vt:lpstr>
      <vt:lpstr>Caso B</vt:lpstr>
      <vt:lpstr>Caso C</vt:lpstr>
      <vt:lpstr>Corriente y cargabilidad</vt:lpstr>
      <vt:lpstr>falla simetrica</vt:lpstr>
      <vt:lpstr>DESPACHO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PUERTO RODRIGUEZ</dc:creator>
  <cp:keywords/>
  <dc:description/>
  <cp:lastModifiedBy>X1504ZA</cp:lastModifiedBy>
  <cp:revision/>
  <dcterms:created xsi:type="dcterms:W3CDTF">2025-11-16T02:00:19Z</dcterms:created>
  <dcterms:modified xsi:type="dcterms:W3CDTF">2025-12-09T13:46:46Z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0x010100C8490E6E6C3FEC4BBC3640C6DEF84CEB</vt:lpwstr>
  </property>
</Properties>
</file>